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gistro diario" sheetId="2" state="visible" r:id="rId4"/>
    <sheet name="Impedimentos" sheetId="3" state="visible" r:id="rId5"/>
    <sheet name="Burndown" sheetId="4" state="visible" r:id="rId6"/>
    <sheet name="Equipo" sheetId="5" state="visible" r:id="rId7"/>
  </sheets>
  <definedNames>
    <definedName function="false" hidden="false" localSheetId="3" name="_xlnm.Print_Area" vbProcedure="false">Burndown!$A$1:$P$20</definedName>
    <definedName function="false" hidden="false" localSheetId="2" name="_xlnm.Print_Area" vbProcedure="false">Impedimentos!$A$1:$J$20</definedName>
    <definedName function="false" hidden="false" localSheetId="0" name="_xlnm.Print_Area" vbProcedure="false">Portada!$A$1:$F$33</definedName>
    <definedName function="false" hidden="false" localSheetId="1" name="_xlnm.Print_Area" vbProcedure="false">'Registro diario'!$A$1:$I$19</definedName>
    <definedName function="false" hidden="true" localSheetId="1" name="_xlnm._FilterDatabase" vbProcedure="false">'Registro diario'!$A$4:$I$400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<sst xmlns="http://schemas.openxmlformats.org/spreadsheetml/2006/main" count="123" uniqueCount="79">
  <si>
    <t xml:space="preserve">Daily Scrum — Registro del equipo</t>
  </si>
  <si>
    <t xml:space="preserve">KontadorIA · Sistema de Finanzas para PYMEs</t>
  </si>
  <si>
    <t xml:space="preserve">Asignatura</t>
  </si>
  <si>
    <t xml:space="preserve">Capstone</t>
  </si>
  <si>
    <t xml:space="preserve">Sección</t>
  </si>
  <si>
    <t xml:space="preserve">005D</t>
  </si>
  <si>
    <t xml:space="preserve">Docente</t>
  </si>
  <si>
    <t xml:space="preserve">Cindy Contador</t>
  </si>
  <si>
    <t xml:space="preserve">Sede</t>
  </si>
  <si>
    <t xml:space="preserve">Antonio Varas</t>
  </si>
  <si>
    <t xml:space="preserve">Scrum Master</t>
  </si>
  <si>
    <t xml:space="preserve">Diego Gallardo</t>
  </si>
  <si>
    <t xml:space="preserve">Product Owner</t>
  </si>
  <si>
    <t xml:space="preserve">Vicente Hermosilla</t>
  </si>
  <si>
    <t xml:space="preserve">Desarrollador</t>
  </si>
  <si>
    <t xml:space="preserve">Felipe Quezada</t>
  </si>
  <si>
    <t xml:space="preserve">Versión</t>
  </si>
  <si>
    <t xml:space="preserve">1.0 · 11 de octubre de 2026</t>
  </si>
  <si>
    <t xml:space="preserve">Cómo se hace el Daily Scrum</t>
  </si>
  <si>
    <t xml:space="preserve">1. Cuándo: todos los días hábiles del sprint, máximo 15 minutos, a la misma hora. Lo facilita el Scrum Master.</t>
  </si>
  <si>
    <t xml:space="preserve">2. Para qué: inspeccionar el avance hacia el Sprint Goal y adaptar el plan del día. Los problemas se anotan y se resuelven después de la reunión.</t>
  </si>
  <si>
    <t xml:space="preserve">3. Cada integrante responde cuatro puntos: avances desde el último daily, trabajo pendiente, dificultades y próximas acciones.</t>
  </si>
  <si>
    <t xml:space="preserve">4. Al terminar: cada uno completa su fila en la hoja Registro diario, los impedimentos nuevos van a la hoja Impedimentos y el Scrum Master anota en Burndown los puntos que quedan según Jira.</t>
  </si>
  <si>
    <t xml:space="preserve">Ejemplo de una fila bien completada (no se cuenta en el registro)</t>
  </si>
  <si>
    <t xml:space="preserve">Fecha</t>
  </si>
  <si>
    <t xml:space="preserve">Integrante</t>
  </si>
  <si>
    <t xml:space="preserve">Avances</t>
  </si>
  <si>
    <t xml:space="preserve">Trabajo pendiente</t>
  </si>
  <si>
    <t xml:space="preserve">Dificultades</t>
  </si>
  <si>
    <t xml:space="preserve">Próximas acciones</t>
  </si>
  <si>
    <t xml:space="preserve">13-10-2026</t>
  </si>
  <si>
    <t xml:space="preserve">Terminé KONTADORIA-21: redirect URI y recuperación de contraseña en Entra.</t>
  </si>
  <si>
    <t xml:space="preserve">KONTADORIA-19 (validar firma del JWT) y KONTADORIA-20 (MSAL).</t>
  </si>
  <si>
    <t xml:space="preserve">El token de prueba no trae el claim email; hay que revisar el user flow.</t>
  </si>
  <si>
    <t xml:space="preserve">Hoy: validación de firma con JWKS. Diego prepara los tokens de prueba para KONTADORIA-23.</t>
  </si>
  <si>
    <t xml:space="preserve">Resumen</t>
  </si>
  <si>
    <t xml:space="preserve">Registros completados</t>
  </si>
  <si>
    <t xml:space="preserve">Impedimentos abiertos</t>
  </si>
  <si>
    <t xml:space="preserve">Impedimentos resueltos</t>
  </si>
  <si>
    <t xml:space="preserve">Pts pendientes Sprint 1 (último dato)</t>
  </si>
  <si>
    <t xml:space="preserve">Leyenda</t>
  </si>
  <si>
    <t xml:space="preserve">Celdas amarillas</t>
  </si>
  <si>
    <t xml:space="preserve">Se completan a mano. El resto se calcula solo; no editar.</t>
  </si>
  <si>
    <t xml:space="preserve">Nuevo sprint</t>
  </si>
  <si>
    <t xml:space="preserve">Duplicar la hoja Burndown, cambiar fechas y puntos comprometidos; el registro diario sigue en la misma hoja eligiendo el sprint.</t>
  </si>
  <si>
    <t xml:space="preserve">Registro diario</t>
  </si>
  <si>
    <t xml:space="preserve">Una fila por integrante y día. Las filas del Sprint 1 ya tienen fecha e integrante; agregar más filas abajo para los sprints siguientes.</t>
  </si>
  <si>
    <t xml:space="preserve">Sprint</t>
  </si>
  <si>
    <t xml:space="preserve">Rol</t>
  </si>
  <si>
    <t xml:space="preserve">Avances (desde el último daily)</t>
  </si>
  <si>
    <t xml:space="preserve">Tareas Jira</t>
  </si>
  <si>
    <t xml:space="preserve">Sprint 1</t>
  </si>
  <si>
    <t xml:space="preserve">Impedimentos</t>
  </si>
  <si>
    <t xml:space="preserve">Todo lo que bloquea o frena el avance. El Scrum Master se asegura de que cada uno tenga responsable y se resuelva.</t>
  </si>
  <si>
    <t xml:space="preserve">N°</t>
  </si>
  <si>
    <t xml:space="preserve">Fecha reporte</t>
  </si>
  <si>
    <t xml:space="preserve">Reportado por</t>
  </si>
  <si>
    <t xml:space="preserve">Descripción</t>
  </si>
  <si>
    <t xml:space="preserve">Tarea / historia afectada</t>
  </si>
  <si>
    <t xml:space="preserve">Responsable de resolverlo</t>
  </si>
  <si>
    <t xml:space="preserve">Estado</t>
  </si>
  <si>
    <t xml:space="preserve">Fecha resolución</t>
  </si>
  <si>
    <t xml:space="preserve">Días abierto</t>
  </si>
  <si>
    <t xml:space="preserve">Cómo se resolvió</t>
  </si>
  <si>
    <t xml:space="preserve">Burndown — Sprint 1 (12 al 16 de octubre)</t>
  </si>
  <si>
    <t xml:space="preserve">Puntos pendientes al cierre de cada día. Real = suma de puntos de las historias que aún no cumplen la Definición de Terminado (ver Jira).</t>
  </si>
  <si>
    <t xml:space="preserve">Puntos comprometidos</t>
  </si>
  <si>
    <t xml:space="preserve">Fuente: Sprint Backlog del Sprint 1 (HU17, HU01, HU05, HU04).</t>
  </si>
  <si>
    <t xml:space="preserve">Momento</t>
  </si>
  <si>
    <t xml:space="preserve">Ideal</t>
  </si>
  <si>
    <t xml:space="preserve">Real</t>
  </si>
  <si>
    <t xml:space="preserve">Comentario</t>
  </si>
  <si>
    <t xml:space="preserve">Inicio</t>
  </si>
  <si>
    <t xml:space="preserve">Sprint Planning</t>
  </si>
  <si>
    <t xml:space="preserve">Cierre lun</t>
  </si>
  <si>
    <t xml:space="preserve">Cierre mar</t>
  </si>
  <si>
    <t xml:space="preserve">Cierre mié</t>
  </si>
  <si>
    <t xml:space="preserve">Cierre jue</t>
  </si>
  <si>
    <t xml:space="preserve">Cierre vie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</si>
</sst>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d\ dd\-mm\-yyyy"/>
    <numFmt numFmtId="166" formatCode="dd\-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7376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73763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737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73763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DECEA"/>
        </patternFill>
      </fill>
    </dxf>
    <dxf>
      <fill>
        <patternFill>
          <bgColor rgb="FFFEF3C7"/>
        </patternFill>
      </fill>
    </dxf>
    <dxf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3C8"/>
      <rgbColor rgb="FF878787"/>
      <rgbColor rgb="FF9999FF"/>
      <rgbColor rgb="FF993366"/>
      <rgbColor rgb="FFFFFDE7"/>
      <rgbColor rgb="FFD9E1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A"/>
      <rgbColor rgb="FFD1FAE5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737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Burndown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Burndown!C5</c:f>
              <c:strCache>
                <c:ptCount val="1"/>
                <c:pt idx="0">
                  <c:v>Ideal</c:v>
                </c:pt>
              </c:strCache>
            </c:strRef>
          </c:tx>
          <c:spPr>
            <a:ln w="12600">
              <a:solidFill>
                <a:srgbClr val="9FB3C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Burndown!$A$6:$A$11</c:f>
              <c:strCache>
                <c:ptCount val="6"/>
                <c:pt idx="0">
                  <c:v>Inicio</c:v>
                </c:pt>
                <c:pt idx="1">
                  <c:v>Cierre lun</c:v>
                </c:pt>
                <c:pt idx="2">
                  <c:v>Cierre mar</c:v>
                </c:pt>
                <c:pt idx="3">
                  <c:v>Cierre mié</c:v>
                </c:pt>
                <c:pt idx="4">
                  <c:v>Cierre jue</c:v>
                </c:pt>
                <c:pt idx="5">
                  <c:v>Cierre vie</c:v>
                </c:pt>
              </c:strCache>
            </c:strRef>
          </c:cat>
          <c:val>
            <c:numRef>
              <c:f>Burndown!$C$6:$C$11</c:f>
              <c:numCache>
                <c:formatCode>General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10.8</c:v>
                </c:pt>
                <c:pt idx="3">
                  <c:v>7.2</c:v>
                </c:pt>
                <c:pt idx="4">
                  <c:v>3.6</c:v>
                </c:pt>
                <c:pt idx="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Burndown!D5</c:f>
              <c:strCache>
                <c:ptCount val="1"/>
                <c:pt idx="0">
                  <c:v>Real</c:v>
                </c:pt>
              </c:strCache>
            </c:strRef>
          </c:tx>
          <c:spPr>
            <a:ln w="28080">
              <a:solidFill>
                <a:srgbClr val="07376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Burndown!$A$6:$A$11</c:f>
              <c:strCache>
                <c:ptCount val="6"/>
                <c:pt idx="0">
                  <c:v>Inicio</c:v>
                </c:pt>
                <c:pt idx="1">
                  <c:v>Cierre lun</c:v>
                </c:pt>
                <c:pt idx="2">
                  <c:v>Cierre mar</c:v>
                </c:pt>
                <c:pt idx="3">
                  <c:v>Cierre mié</c:v>
                </c:pt>
                <c:pt idx="4">
                  <c:v>Cierre jue</c:v>
                </c:pt>
                <c:pt idx="5">
                  <c:v>Cierre vie</c:v>
                </c:pt>
              </c:strCache>
            </c:strRef>
          </c:cat>
          <c:val>
            <c:numRef>
              <c:f>Burndown!$D$6:$D$11</c:f>
              <c:numCache>
                <c:formatCode>General</c:formatCode>
                <c:ptCount val="6"/>
                <c:pt idx="0">
                  <c:v>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192301"/>
        <c:axId val="63059152"/>
      </c:lineChart>
      <c:catAx>
        <c:axId val="881923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059152"/>
        <c:crosses val="autoZero"/>
        <c:auto val="1"/>
        <c:lblAlgn val="ctr"/>
        <c:lblOffset val="100"/>
        <c:noMultiLvlLbl val="0"/>
      </c:catAx>
      <c:valAx>
        <c:axId val="6305915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192301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256320</xdr:colOff>
      <xdr:row>17</xdr:row>
      <xdr:rowOff>32400</xdr:rowOff>
    </xdr:to>
    <xdr:graphicFrame>
      <xdr:nvGraphicFramePr>
        <xdr:cNvPr id="1" name="Chart 1"/>
        <xdr:cNvGraphicFramePr/>
      </xdr:nvGraphicFramePr>
      <xdr:xfrm>
        <a:off x="6743880" y="6310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5" min="4" style="0" width="34"/>
    <col collapsed="false" customWidth="true" hidden="false" outlineLevel="0" max="6" min="6" style="0" width="3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3" customFormat="false" ht="15" hidden="false" customHeight="false" outlineLevel="0" collapsed="false">
      <c r="A13" s="5" t="s">
        <v>18</v>
      </c>
    </row>
    <row r="14" customFormat="false" ht="30" hidden="false" customHeight="true" outlineLevel="0" collapsed="false">
      <c r="A14" s="6" t="s">
        <v>19</v>
      </c>
      <c r="B14" s="6"/>
      <c r="C14" s="6"/>
      <c r="D14" s="6"/>
      <c r="E14" s="6"/>
      <c r="F14" s="6"/>
    </row>
    <row r="15" customFormat="false" ht="30" hidden="false" customHeight="true" outlineLevel="0" collapsed="false">
      <c r="A15" s="6" t="s">
        <v>20</v>
      </c>
      <c r="B15" s="6"/>
      <c r="C15" s="6"/>
      <c r="D15" s="6"/>
      <c r="E15" s="6"/>
      <c r="F15" s="6"/>
    </row>
    <row r="16" customFormat="false" ht="30" hidden="false" customHeight="true" outlineLevel="0" collapsed="false">
      <c r="A16" s="6" t="s">
        <v>21</v>
      </c>
      <c r="B16" s="6"/>
      <c r="C16" s="6"/>
      <c r="D16" s="6"/>
      <c r="E16" s="6"/>
      <c r="F16" s="6"/>
    </row>
    <row r="17" customFormat="false" ht="30" hidden="false" customHeight="true" outlineLevel="0" collapsed="false">
      <c r="A17" s="6" t="s">
        <v>22</v>
      </c>
      <c r="B17" s="6"/>
      <c r="C17" s="6"/>
      <c r="D17" s="6"/>
      <c r="E17" s="6"/>
      <c r="F17" s="6"/>
    </row>
    <row r="19" customFormat="false" ht="15" hidden="false" customHeight="false" outlineLevel="0" collapsed="false">
      <c r="A19" s="5" t="s">
        <v>23</v>
      </c>
    </row>
    <row r="20" customFormat="false" ht="15" hidden="false" customHeight="false" outlineLevel="0" collapsed="false">
      <c r="A20" s="7" t="s">
        <v>24</v>
      </c>
      <c r="B20" s="7" t="s">
        <v>25</v>
      </c>
      <c r="C20" s="7" t="s">
        <v>26</v>
      </c>
      <c r="D20" s="7" t="s">
        <v>27</v>
      </c>
      <c r="E20" s="7" t="s">
        <v>28</v>
      </c>
      <c r="F20" s="7" t="s">
        <v>29</v>
      </c>
    </row>
    <row r="21" customFormat="false" ht="63.75" hidden="false" customHeight="true" outlineLevel="0" collapsed="false">
      <c r="A21" s="8" t="s">
        <v>30</v>
      </c>
      <c r="B21" s="8" t="s">
        <v>15</v>
      </c>
      <c r="C21" s="8" t="s">
        <v>31</v>
      </c>
      <c r="D21" s="8" t="s">
        <v>32</v>
      </c>
      <c r="E21" s="8" t="s">
        <v>33</v>
      </c>
      <c r="F21" s="8" t="s">
        <v>34</v>
      </c>
    </row>
    <row r="24" customFormat="false" ht="15" hidden="false" customHeight="false" outlineLevel="0" collapsed="false">
      <c r="A24" s="5" t="s">
        <v>35</v>
      </c>
    </row>
    <row r="25" customFormat="false" ht="15" hidden="false" customHeight="false" outlineLevel="0" collapsed="false">
      <c r="A25" s="3" t="s">
        <v>36</v>
      </c>
      <c r="B25" s="9" t="n">
        <f aca="false">COUNTIF('Registro diario'!E5:E400,"?*")</f>
        <v>0</v>
      </c>
    </row>
    <row r="26" customFormat="false" ht="15" hidden="false" customHeight="false" outlineLevel="0" collapsed="false">
      <c r="A26" s="3" t="s">
        <v>37</v>
      </c>
      <c r="B26" s="9" t="n">
        <f aca="false">COUNTIF(Impedimentos!G5:G200,"Abierto")+COUNTIF(Impedimentos!G5:G200,"En curso")</f>
        <v>0</v>
      </c>
    </row>
    <row r="27" customFormat="false" ht="15" hidden="false" customHeight="false" outlineLevel="0" collapsed="false">
      <c r="A27" s="3" t="s">
        <v>38</v>
      </c>
      <c r="B27" s="9" t="n">
        <f aca="false">COUNTIF(Impedimentos!G5:G200,"Resuelto")</f>
        <v>0</v>
      </c>
    </row>
    <row r="28" customFormat="false" ht="15" hidden="false" customHeight="false" outlineLevel="0" collapsed="false">
      <c r="A28" s="3" t="s">
        <v>39</v>
      </c>
      <c r="B28" s="9" t="n">
        <f aca="false">IFERROR(LOOKUP(2,1/(Burndown!D6:D11&lt;&gt;""),Burndown!D6:D11),Burndown!C4)</f>
        <v>18</v>
      </c>
    </row>
    <row r="30" customFormat="false" ht="15" hidden="false" customHeight="false" outlineLevel="0" collapsed="false">
      <c r="A30" s="5" t="s">
        <v>40</v>
      </c>
    </row>
    <row r="31" customFormat="false" ht="15" hidden="false" customHeight="false" outlineLevel="0" collapsed="false">
      <c r="A31" s="10" t="s">
        <v>41</v>
      </c>
      <c r="B31" s="4" t="s">
        <v>42</v>
      </c>
    </row>
    <row r="32" customFormat="false" ht="15" hidden="false" customHeight="false" outlineLevel="0" collapsed="false">
      <c r="A32" s="3" t="s">
        <v>43</v>
      </c>
      <c r="B32" s="4" t="s">
        <v>44</v>
      </c>
    </row>
  </sheetData>
  <mergeCells count="4"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40"/>
    <col collapsed="false" customWidth="true" hidden="false" outlineLevel="0" max="8" min="6" style="0" width="34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7" t="s">
        <v>24</v>
      </c>
      <c r="B4" s="7" t="s">
        <v>47</v>
      </c>
      <c r="C4" s="7" t="s">
        <v>25</v>
      </c>
      <c r="D4" s="7" t="s">
        <v>48</v>
      </c>
      <c r="E4" s="7" t="s">
        <v>49</v>
      </c>
      <c r="F4" s="7" t="s">
        <v>27</v>
      </c>
      <c r="G4" s="7" t="s">
        <v>28</v>
      </c>
      <c r="H4" s="7" t="s">
        <v>29</v>
      </c>
      <c r="I4" s="7" t="s">
        <v>50</v>
      </c>
    </row>
    <row r="5" customFormat="false" ht="15" hidden="false" customHeight="false" outlineLevel="0" collapsed="false">
      <c r="A5" s="11" t="n">
        <v>46307</v>
      </c>
      <c r="B5" s="12" t="s">
        <v>51</v>
      </c>
      <c r="C5" s="13" t="s">
        <v>15</v>
      </c>
      <c r="D5" s="14" t="str">
        <f aca="false">IF(C5="","",IFERROR(VLOOKUP(C5,Equipo!$A$2:$B$4,2,FALSE()),""))</f>
        <v>Desarrollador</v>
      </c>
      <c r="E5" s="13"/>
      <c r="F5" s="13"/>
      <c r="G5" s="13"/>
      <c r="H5" s="13"/>
      <c r="I5" s="13"/>
    </row>
    <row r="6" customFormat="false" ht="15" hidden="false" customHeight="false" outlineLevel="0" collapsed="false">
      <c r="A6" s="11" t="n">
        <v>46307</v>
      </c>
      <c r="B6" s="12" t="s">
        <v>51</v>
      </c>
      <c r="C6" s="13" t="s">
        <v>11</v>
      </c>
      <c r="D6" s="14" t="str">
        <f aca="false">IF(C6="","",IFERROR(VLOOKUP(C6,Equipo!$A$2:$B$4,2,FALSE()),""))</f>
        <v>Scrum Master</v>
      </c>
      <c r="E6" s="13"/>
      <c r="F6" s="13"/>
      <c r="G6" s="13"/>
      <c r="H6" s="13"/>
      <c r="I6" s="13"/>
    </row>
    <row r="7" customFormat="false" ht="15" hidden="false" customHeight="false" outlineLevel="0" collapsed="false">
      <c r="A7" s="11" t="n">
        <v>46307</v>
      </c>
      <c r="B7" s="12" t="s">
        <v>51</v>
      </c>
      <c r="C7" s="13" t="s">
        <v>13</v>
      </c>
      <c r="D7" s="14" t="str">
        <f aca="false">IF(C7="","",IFERROR(VLOOKUP(C7,Equipo!$A$2:$B$4,2,FALSE()),""))</f>
        <v>Product Owner</v>
      </c>
      <c r="E7" s="13"/>
      <c r="F7" s="13"/>
      <c r="G7" s="13"/>
      <c r="H7" s="13"/>
      <c r="I7" s="13"/>
    </row>
    <row r="8" customFormat="false" ht="15" hidden="false" customHeight="false" outlineLevel="0" collapsed="false">
      <c r="A8" s="11" t="n">
        <v>46308</v>
      </c>
      <c r="B8" s="12" t="s">
        <v>51</v>
      </c>
      <c r="C8" s="13" t="s">
        <v>15</v>
      </c>
      <c r="D8" s="14" t="str">
        <f aca="false">IF(C8="","",IFERROR(VLOOKUP(C8,Equipo!$A$2:$B$4,2,FALSE()),""))</f>
        <v>Desarrollador</v>
      </c>
      <c r="E8" s="13"/>
      <c r="F8" s="13"/>
      <c r="G8" s="13"/>
      <c r="H8" s="13"/>
      <c r="I8" s="13"/>
    </row>
    <row r="9" customFormat="false" ht="15" hidden="false" customHeight="false" outlineLevel="0" collapsed="false">
      <c r="A9" s="11" t="n">
        <v>46308</v>
      </c>
      <c r="B9" s="12" t="s">
        <v>51</v>
      </c>
      <c r="C9" s="13" t="s">
        <v>11</v>
      </c>
      <c r="D9" s="14" t="str">
        <f aca="false">IF(C9="","",IFERROR(VLOOKUP(C9,Equipo!$A$2:$B$4,2,FALSE()),""))</f>
        <v>Scrum Master</v>
      </c>
      <c r="E9" s="13"/>
      <c r="F9" s="13"/>
      <c r="G9" s="13"/>
      <c r="H9" s="13"/>
      <c r="I9" s="13"/>
    </row>
    <row r="10" customFormat="false" ht="15" hidden="false" customHeight="false" outlineLevel="0" collapsed="false">
      <c r="A10" s="11" t="n">
        <v>46308</v>
      </c>
      <c r="B10" s="12" t="s">
        <v>51</v>
      </c>
      <c r="C10" s="13" t="s">
        <v>13</v>
      </c>
      <c r="D10" s="14" t="str">
        <f aca="false">IF(C10="","",IFERROR(VLOOKUP(C10,Equipo!$A$2:$B$4,2,FALSE()),""))</f>
        <v>Product Owner</v>
      </c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1" t="n">
        <v>46309</v>
      </c>
      <c r="B11" s="12" t="s">
        <v>51</v>
      </c>
      <c r="C11" s="13" t="s">
        <v>15</v>
      </c>
      <c r="D11" s="14" t="str">
        <f aca="false">IF(C11="","",IFERROR(VLOOKUP(C11,Equipo!$A$2:$B$4,2,FALSE()),""))</f>
        <v>Desarrollador</v>
      </c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1" t="n">
        <v>46309</v>
      </c>
      <c r="B12" s="12" t="s">
        <v>51</v>
      </c>
      <c r="C12" s="13" t="s">
        <v>11</v>
      </c>
      <c r="D12" s="14" t="str">
        <f aca="false">IF(C12="","",IFERROR(VLOOKUP(C12,Equipo!$A$2:$B$4,2,FALSE()),""))</f>
        <v>Scrum Master</v>
      </c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1" t="n">
        <v>46309</v>
      </c>
      <c r="B13" s="12" t="s">
        <v>51</v>
      </c>
      <c r="C13" s="13" t="s">
        <v>13</v>
      </c>
      <c r="D13" s="14" t="str">
        <f aca="false">IF(C13="","",IFERROR(VLOOKUP(C13,Equipo!$A$2:$B$4,2,FALSE()),""))</f>
        <v>Product Owner</v>
      </c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1" t="n">
        <v>46310</v>
      </c>
      <c r="B14" s="12" t="s">
        <v>51</v>
      </c>
      <c r="C14" s="13" t="s">
        <v>15</v>
      </c>
      <c r="D14" s="14" t="str">
        <f aca="false">IF(C14="","",IFERROR(VLOOKUP(C14,Equipo!$A$2:$B$4,2,FALSE()),""))</f>
        <v>Desarrollador</v>
      </c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1" t="n">
        <v>46310</v>
      </c>
      <c r="B15" s="12" t="s">
        <v>51</v>
      </c>
      <c r="C15" s="13" t="s">
        <v>11</v>
      </c>
      <c r="D15" s="14" t="str">
        <f aca="false">IF(C15="","",IFERROR(VLOOKUP(C15,Equipo!$A$2:$B$4,2,FALSE()),""))</f>
        <v>Scrum Master</v>
      </c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1" t="n">
        <v>46310</v>
      </c>
      <c r="B16" s="12" t="s">
        <v>51</v>
      </c>
      <c r="C16" s="13" t="s">
        <v>13</v>
      </c>
      <c r="D16" s="14" t="str">
        <f aca="false">IF(C16="","",IFERROR(VLOOKUP(C16,Equipo!$A$2:$B$4,2,FALSE()),""))</f>
        <v>Product Owner</v>
      </c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1" t="n">
        <v>46311</v>
      </c>
      <c r="B17" s="12" t="s">
        <v>51</v>
      </c>
      <c r="C17" s="13" t="s">
        <v>15</v>
      </c>
      <c r="D17" s="14" t="str">
        <f aca="false">IF(C17="","",IFERROR(VLOOKUP(C17,Equipo!$A$2:$B$4,2,FALSE()),""))</f>
        <v>Desarrollador</v>
      </c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1" t="n">
        <v>46311</v>
      </c>
      <c r="B18" s="12" t="s">
        <v>51</v>
      </c>
      <c r="C18" s="13" t="s">
        <v>11</v>
      </c>
      <c r="D18" s="14" t="str">
        <f aca="false">IF(C18="","",IFERROR(VLOOKUP(C18,Equipo!$A$2:$B$4,2,FALSE()),""))</f>
        <v>Scrum Master</v>
      </c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1" t="n">
        <v>46311</v>
      </c>
      <c r="B19" s="12" t="s">
        <v>51</v>
      </c>
      <c r="C19" s="13" t="s">
        <v>13</v>
      </c>
      <c r="D19" s="14" t="str">
        <f aca="false">IF(C19="","",IFERROR(VLOOKUP(C19,Equipo!$A$2:$B$4,2,FALSE()),""))</f>
        <v>Product Owner</v>
      </c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1"/>
      <c r="B20" s="12"/>
      <c r="C20" s="13"/>
      <c r="D20" s="14" t="str">
        <f aca="false">IF(C20="","",IFERROR(VLOOKUP(C20,Equipo!$A$2:$B$4,2,FALSE()),""))</f>
        <v/>
      </c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1"/>
      <c r="B21" s="12"/>
      <c r="C21" s="13"/>
      <c r="D21" s="14" t="str">
        <f aca="false">IF(C21="","",IFERROR(VLOOKUP(C21,Equipo!$A$2:$B$4,2,FALSE()),""))</f>
        <v/>
      </c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1"/>
      <c r="B22" s="12"/>
      <c r="C22" s="13"/>
      <c r="D22" s="14" t="str">
        <f aca="false">IF(C22="","",IFERROR(VLOOKUP(C22,Equipo!$A$2:$B$4,2,FALSE()),""))</f>
        <v/>
      </c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1"/>
      <c r="B23" s="12"/>
      <c r="C23" s="13"/>
      <c r="D23" s="14" t="str">
        <f aca="false">IF(C23="","",IFERROR(VLOOKUP(C23,Equipo!$A$2:$B$4,2,FALSE()),""))</f>
        <v/>
      </c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1"/>
      <c r="B24" s="12"/>
      <c r="C24" s="13"/>
      <c r="D24" s="14" t="str">
        <f aca="false">IF(C24="","",IFERROR(VLOOKUP(C24,Equipo!$A$2:$B$4,2,FALSE()),""))</f>
        <v/>
      </c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1"/>
      <c r="B25" s="12"/>
      <c r="C25" s="13"/>
      <c r="D25" s="14" t="str">
        <f aca="false">IF(C25="","",IFERROR(VLOOKUP(C25,Equipo!$A$2:$B$4,2,FALSE()),""))</f>
        <v/>
      </c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1"/>
      <c r="B26" s="12"/>
      <c r="C26" s="13"/>
      <c r="D26" s="14" t="str">
        <f aca="false">IF(C26="","",IFERROR(VLOOKUP(C26,Equipo!$A$2:$B$4,2,FALSE()),""))</f>
        <v/>
      </c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1"/>
      <c r="B27" s="12"/>
      <c r="C27" s="13"/>
      <c r="D27" s="14" t="str">
        <f aca="false">IF(C27="","",IFERROR(VLOOKUP(C27,Equipo!$A$2:$B$4,2,FALSE()),""))</f>
        <v/>
      </c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1"/>
      <c r="B28" s="12"/>
      <c r="C28" s="13"/>
      <c r="D28" s="14" t="str">
        <f aca="false">IF(C28="","",IFERROR(VLOOKUP(C28,Equipo!$A$2:$B$4,2,FALSE()),""))</f>
        <v/>
      </c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1"/>
      <c r="B29" s="12"/>
      <c r="C29" s="13"/>
      <c r="D29" s="14" t="str">
        <f aca="false">IF(C29="","",IFERROR(VLOOKUP(C29,Equipo!$A$2:$B$4,2,FALSE()),""))</f>
        <v/>
      </c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1"/>
      <c r="B30" s="12"/>
      <c r="C30" s="13"/>
      <c r="D30" s="14" t="str">
        <f aca="false">IF(C30="","",IFERROR(VLOOKUP(C30,Equipo!$A$2:$B$4,2,FALSE()),""))</f>
        <v/>
      </c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1"/>
      <c r="B31" s="12"/>
      <c r="C31" s="13"/>
      <c r="D31" s="14" t="str">
        <f aca="false">IF(C31="","",IFERROR(VLOOKUP(C31,Equipo!$A$2:$B$4,2,FALSE()),""))</f>
        <v/>
      </c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1"/>
      <c r="B32" s="12"/>
      <c r="C32" s="13"/>
      <c r="D32" s="14" t="str">
        <f aca="false">IF(C32="","",IFERROR(VLOOKUP(C32,Equipo!$A$2:$B$4,2,FALSE()),""))</f>
        <v/>
      </c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1"/>
      <c r="B33" s="12"/>
      <c r="C33" s="13"/>
      <c r="D33" s="14" t="str">
        <f aca="false">IF(C33="","",IFERROR(VLOOKUP(C33,Equipo!$A$2:$B$4,2,FALSE()),""))</f>
        <v/>
      </c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1"/>
      <c r="B34" s="12"/>
      <c r="C34" s="13"/>
      <c r="D34" s="14" t="str">
        <f aca="false">IF(C34="","",IFERROR(VLOOKUP(C34,Equipo!$A$2:$B$4,2,FALSE()),""))</f>
        <v/>
      </c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1"/>
      <c r="B35" s="12"/>
      <c r="C35" s="13"/>
      <c r="D35" s="14" t="str">
        <f aca="false">IF(C35="","",IFERROR(VLOOKUP(C35,Equipo!$A$2:$B$4,2,FALSE()),""))</f>
        <v/>
      </c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1"/>
      <c r="B36" s="12"/>
      <c r="C36" s="13"/>
      <c r="D36" s="14" t="str">
        <f aca="false">IF(C36="","",IFERROR(VLOOKUP(C36,Equipo!$A$2:$B$4,2,FALSE()),""))</f>
        <v/>
      </c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1"/>
      <c r="B37" s="12"/>
      <c r="C37" s="13"/>
      <c r="D37" s="14" t="str">
        <f aca="false">IF(C37="","",IFERROR(VLOOKUP(C37,Equipo!$A$2:$B$4,2,FALSE()),""))</f>
        <v/>
      </c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1"/>
      <c r="B38" s="12"/>
      <c r="C38" s="13"/>
      <c r="D38" s="14" t="str">
        <f aca="false">IF(C38="","",IFERROR(VLOOKUP(C38,Equipo!$A$2:$B$4,2,FALSE()),""))</f>
        <v/>
      </c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1"/>
      <c r="B39" s="12"/>
      <c r="C39" s="13"/>
      <c r="D39" s="14" t="str">
        <f aca="false">IF(C39="","",IFERROR(VLOOKUP(C39,Equipo!$A$2:$B$4,2,FALSE()),""))</f>
        <v/>
      </c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1"/>
      <c r="B40" s="12"/>
      <c r="C40" s="13"/>
      <c r="D40" s="14" t="str">
        <f aca="false">IF(C40="","",IFERROR(VLOOKUP(C40,Equipo!$A$2:$B$4,2,FALSE()),""))</f>
        <v/>
      </c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1"/>
      <c r="B41" s="12"/>
      <c r="C41" s="13"/>
      <c r="D41" s="14" t="str">
        <f aca="false">IF(C41="","",IFERROR(VLOOKUP(C41,Equipo!$A$2:$B$4,2,FALSE()),""))</f>
        <v/>
      </c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1"/>
      <c r="B42" s="12"/>
      <c r="C42" s="13"/>
      <c r="D42" s="14" t="str">
        <f aca="false">IF(C42="","",IFERROR(VLOOKUP(C42,Equipo!$A$2:$B$4,2,FALSE()),""))</f>
        <v/>
      </c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1"/>
      <c r="B43" s="12"/>
      <c r="C43" s="13"/>
      <c r="D43" s="14" t="str">
        <f aca="false">IF(C43="","",IFERROR(VLOOKUP(C43,Equipo!$A$2:$B$4,2,FALSE()),""))</f>
        <v/>
      </c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1"/>
      <c r="B44" s="12"/>
      <c r="C44" s="13"/>
      <c r="D44" s="14" t="str">
        <f aca="false">IF(C44="","",IFERROR(VLOOKUP(C44,Equipo!$A$2:$B$4,2,FALSE()),""))</f>
        <v/>
      </c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1"/>
      <c r="B45" s="12"/>
      <c r="C45" s="13"/>
      <c r="D45" s="14" t="str">
        <f aca="false">IF(C45="","",IFERROR(VLOOKUP(C45,Equipo!$A$2:$B$4,2,FALSE()),""))</f>
        <v/>
      </c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1"/>
      <c r="B46" s="12"/>
      <c r="C46" s="13"/>
      <c r="D46" s="14" t="str">
        <f aca="false">IF(C46="","",IFERROR(VLOOKUP(C46,Equipo!$A$2:$B$4,2,FALSE()),""))</f>
        <v/>
      </c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1"/>
      <c r="B47" s="12"/>
      <c r="C47" s="13"/>
      <c r="D47" s="14" t="str">
        <f aca="false">IF(C47="","",IFERROR(VLOOKUP(C47,Equipo!$A$2:$B$4,2,FALSE()),""))</f>
        <v/>
      </c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1"/>
      <c r="B48" s="12"/>
      <c r="C48" s="13"/>
      <c r="D48" s="14" t="str">
        <f aca="false">IF(C48="","",IFERROR(VLOOKUP(C48,Equipo!$A$2:$B$4,2,FALSE()),""))</f>
        <v/>
      </c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1"/>
      <c r="B49" s="12"/>
      <c r="C49" s="13"/>
      <c r="D49" s="14" t="str">
        <f aca="false">IF(C49="","",IFERROR(VLOOKUP(C49,Equipo!$A$2:$B$4,2,FALSE()),""))</f>
        <v/>
      </c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1"/>
      <c r="B50" s="12"/>
      <c r="C50" s="13"/>
      <c r="D50" s="14" t="str">
        <f aca="false">IF(C50="","",IFERROR(VLOOKUP(C50,Equipo!$A$2:$B$4,2,FALSE()),""))</f>
        <v/>
      </c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1"/>
      <c r="B51" s="12"/>
      <c r="C51" s="13"/>
      <c r="D51" s="14" t="str">
        <f aca="false">IF(C51="","",IFERROR(VLOOKUP(C51,Equipo!$A$2:$B$4,2,FALSE()),""))</f>
        <v/>
      </c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1"/>
      <c r="B52" s="12"/>
      <c r="C52" s="13"/>
      <c r="D52" s="14" t="str">
        <f aca="false">IF(C52="","",IFERROR(VLOOKUP(C52,Equipo!$A$2:$B$4,2,FALSE()),""))</f>
        <v/>
      </c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1"/>
      <c r="B53" s="12"/>
      <c r="C53" s="13"/>
      <c r="D53" s="14" t="str">
        <f aca="false">IF(C53="","",IFERROR(VLOOKUP(C53,Equipo!$A$2:$B$4,2,FALSE()),""))</f>
        <v/>
      </c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1"/>
      <c r="B54" s="12"/>
      <c r="C54" s="13"/>
      <c r="D54" s="14" t="str">
        <f aca="false">IF(C54="","",IFERROR(VLOOKUP(C54,Equipo!$A$2:$B$4,2,FALSE()),""))</f>
        <v/>
      </c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1"/>
      <c r="B55" s="12"/>
      <c r="C55" s="13"/>
      <c r="D55" s="14" t="str">
        <f aca="false">IF(C55="","",IFERROR(VLOOKUP(C55,Equipo!$A$2:$B$4,2,FALSE()),""))</f>
        <v/>
      </c>
      <c r="E55" s="13"/>
      <c r="F55" s="13"/>
      <c r="G55" s="13"/>
      <c r="H55" s="13"/>
      <c r="I55" s="13"/>
    </row>
    <row r="56" customFormat="false" ht="15" hidden="false" customHeight="false" outlineLevel="0" collapsed="false">
      <c r="A56" s="11"/>
      <c r="B56" s="12"/>
      <c r="C56" s="13"/>
      <c r="D56" s="14" t="str">
        <f aca="false">IF(C56="","",IFERROR(VLOOKUP(C56,Equipo!$A$2:$B$4,2,FALSE()),""))</f>
        <v/>
      </c>
      <c r="E56" s="13"/>
      <c r="F56" s="13"/>
      <c r="G56" s="13"/>
      <c r="H56" s="13"/>
      <c r="I56" s="13"/>
    </row>
    <row r="57" customFormat="false" ht="15" hidden="false" customHeight="false" outlineLevel="0" collapsed="false">
      <c r="A57" s="11"/>
      <c r="B57" s="12"/>
      <c r="C57" s="13"/>
      <c r="D57" s="14" t="str">
        <f aca="false">IF(C57="","",IFERROR(VLOOKUP(C57,Equipo!$A$2:$B$4,2,FALSE()),""))</f>
        <v/>
      </c>
      <c r="E57" s="13"/>
      <c r="F57" s="13"/>
      <c r="G57" s="13"/>
      <c r="H57" s="13"/>
      <c r="I57" s="13"/>
    </row>
    <row r="58" customFormat="false" ht="15" hidden="false" customHeight="false" outlineLevel="0" collapsed="false">
      <c r="A58" s="11"/>
      <c r="B58" s="12"/>
      <c r="C58" s="13"/>
      <c r="D58" s="14" t="str">
        <f aca="false">IF(C58="","",IFERROR(VLOOKUP(C58,Equipo!$A$2:$B$4,2,FALSE()),""))</f>
        <v/>
      </c>
      <c r="E58" s="13"/>
      <c r="F58" s="13"/>
      <c r="G58" s="13"/>
      <c r="H58" s="13"/>
      <c r="I58" s="13"/>
    </row>
    <row r="59" customFormat="false" ht="15" hidden="false" customHeight="false" outlineLevel="0" collapsed="false">
      <c r="A59" s="11"/>
      <c r="B59" s="12"/>
      <c r="C59" s="13"/>
      <c r="D59" s="14" t="str">
        <f aca="false">IF(C59="","",IFERROR(VLOOKUP(C59,Equipo!$A$2:$B$4,2,FALSE()),""))</f>
        <v/>
      </c>
      <c r="E59" s="13"/>
      <c r="F59" s="13"/>
      <c r="G59" s="13"/>
      <c r="H59" s="13"/>
      <c r="I59" s="13"/>
    </row>
    <row r="60" customFormat="false" ht="15" hidden="false" customHeight="false" outlineLevel="0" collapsed="false">
      <c r="A60" s="11"/>
      <c r="B60" s="12"/>
      <c r="C60" s="13"/>
      <c r="D60" s="14" t="str">
        <f aca="false">IF(C60="","",IFERROR(VLOOKUP(C60,Equipo!$A$2:$B$4,2,FALSE()),""))</f>
        <v/>
      </c>
      <c r="E60" s="13"/>
      <c r="F60" s="13"/>
      <c r="G60" s="13"/>
      <c r="H60" s="13"/>
      <c r="I60" s="13"/>
    </row>
    <row r="61" customFormat="false" ht="15" hidden="false" customHeight="false" outlineLevel="0" collapsed="false">
      <c r="A61" s="11"/>
      <c r="B61" s="12"/>
      <c r="C61" s="13"/>
      <c r="D61" s="14" t="str">
        <f aca="false">IF(C61="","",IFERROR(VLOOKUP(C61,Equipo!$A$2:$B$4,2,FALSE()),""))</f>
        <v/>
      </c>
      <c r="E61" s="13"/>
      <c r="F61" s="13"/>
      <c r="G61" s="13"/>
      <c r="H61" s="13"/>
      <c r="I61" s="13"/>
    </row>
    <row r="62" customFormat="false" ht="15" hidden="false" customHeight="false" outlineLevel="0" collapsed="false">
      <c r="A62" s="11"/>
      <c r="B62" s="12"/>
      <c r="C62" s="13"/>
      <c r="D62" s="14" t="str">
        <f aca="false">IF(C62="","",IFERROR(VLOOKUP(C62,Equipo!$A$2:$B$4,2,FALSE()),""))</f>
        <v/>
      </c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11"/>
      <c r="B63" s="12"/>
      <c r="C63" s="13"/>
      <c r="D63" s="14" t="str">
        <f aca="false">IF(C63="","",IFERROR(VLOOKUP(C63,Equipo!$A$2:$B$4,2,FALSE()),""))</f>
        <v/>
      </c>
      <c r="E63" s="13"/>
      <c r="F63" s="13"/>
      <c r="G63" s="13"/>
      <c r="H63" s="13"/>
      <c r="I63" s="13"/>
    </row>
    <row r="64" customFormat="false" ht="15" hidden="false" customHeight="false" outlineLevel="0" collapsed="false">
      <c r="A64" s="11"/>
      <c r="B64" s="12"/>
      <c r="C64" s="13"/>
      <c r="D64" s="14" t="str">
        <f aca="false">IF(C64="","",IFERROR(VLOOKUP(C64,Equipo!$A$2:$B$4,2,FALSE()),""))</f>
        <v/>
      </c>
      <c r="E64" s="13"/>
      <c r="F64" s="13"/>
      <c r="G64" s="13"/>
      <c r="H64" s="13"/>
      <c r="I64" s="13"/>
    </row>
    <row r="65" customFormat="false" ht="15" hidden="false" customHeight="false" outlineLevel="0" collapsed="false">
      <c r="A65" s="11"/>
      <c r="B65" s="12"/>
      <c r="C65" s="13"/>
      <c r="D65" s="14" t="str">
        <f aca="false">IF(C65="","",IFERROR(VLOOKUP(C65,Equipo!$A$2:$B$4,2,FALSE()),""))</f>
        <v/>
      </c>
      <c r="E65" s="13"/>
      <c r="F65" s="13"/>
      <c r="G65" s="13"/>
      <c r="H65" s="13"/>
      <c r="I65" s="13"/>
    </row>
    <row r="66" customFormat="false" ht="15" hidden="false" customHeight="false" outlineLevel="0" collapsed="false">
      <c r="A66" s="11"/>
      <c r="B66" s="12"/>
      <c r="C66" s="13"/>
      <c r="D66" s="14" t="str">
        <f aca="false">IF(C66="","",IFERROR(VLOOKUP(C66,Equipo!$A$2:$B$4,2,FALSE()),""))</f>
        <v/>
      </c>
      <c r="E66" s="13"/>
      <c r="F66" s="13"/>
      <c r="G66" s="13"/>
      <c r="H66" s="13"/>
      <c r="I66" s="13"/>
    </row>
    <row r="67" customFormat="false" ht="15" hidden="false" customHeight="false" outlineLevel="0" collapsed="false">
      <c r="A67" s="11"/>
      <c r="B67" s="12"/>
      <c r="C67" s="13"/>
      <c r="D67" s="14" t="str">
        <f aca="false">IF(C67="","",IFERROR(VLOOKUP(C67,Equipo!$A$2:$B$4,2,FALSE()),""))</f>
        <v/>
      </c>
      <c r="E67" s="13"/>
      <c r="F67" s="13"/>
      <c r="G67" s="13"/>
      <c r="H67" s="13"/>
      <c r="I67" s="13"/>
    </row>
    <row r="68" customFormat="false" ht="15" hidden="false" customHeight="false" outlineLevel="0" collapsed="false">
      <c r="A68" s="11"/>
      <c r="B68" s="12"/>
      <c r="C68" s="13"/>
      <c r="D68" s="14" t="str">
        <f aca="false">IF(C68="","",IFERROR(VLOOKUP(C68,Equipo!$A$2:$B$4,2,FALSE()),""))</f>
        <v/>
      </c>
      <c r="E68" s="13"/>
      <c r="F68" s="13"/>
      <c r="G68" s="13"/>
      <c r="H68" s="13"/>
      <c r="I68" s="13"/>
    </row>
    <row r="69" customFormat="false" ht="15" hidden="false" customHeight="false" outlineLevel="0" collapsed="false">
      <c r="A69" s="11"/>
      <c r="B69" s="12"/>
      <c r="C69" s="13"/>
      <c r="D69" s="14" t="str">
        <f aca="false">IF(C69="","",IFERROR(VLOOKUP(C69,Equipo!$A$2:$B$4,2,FALSE()),""))</f>
        <v/>
      </c>
      <c r="E69" s="13"/>
      <c r="F69" s="13"/>
      <c r="G69" s="13"/>
      <c r="H69" s="13"/>
      <c r="I69" s="13"/>
    </row>
    <row r="70" customFormat="false" ht="15" hidden="false" customHeight="false" outlineLevel="0" collapsed="false">
      <c r="A70" s="11"/>
      <c r="B70" s="12"/>
      <c r="C70" s="13"/>
      <c r="D70" s="14" t="str">
        <f aca="false">IF(C70="","",IFERROR(VLOOKUP(C70,Equipo!$A$2:$B$4,2,FALSE()),""))</f>
        <v/>
      </c>
      <c r="E70" s="13"/>
      <c r="F70" s="13"/>
      <c r="G70" s="13"/>
      <c r="H70" s="13"/>
      <c r="I70" s="13"/>
    </row>
    <row r="71" customFormat="false" ht="15" hidden="false" customHeight="false" outlineLevel="0" collapsed="false">
      <c r="A71" s="11"/>
      <c r="B71" s="12"/>
      <c r="C71" s="13"/>
      <c r="D71" s="14" t="str">
        <f aca="false">IF(C71="","",IFERROR(VLOOKUP(C71,Equipo!$A$2:$B$4,2,FALSE()),""))</f>
        <v/>
      </c>
      <c r="E71" s="13"/>
      <c r="F71" s="13"/>
      <c r="G71" s="13"/>
      <c r="H71" s="13"/>
      <c r="I71" s="13"/>
    </row>
    <row r="72" customFormat="false" ht="15" hidden="false" customHeight="false" outlineLevel="0" collapsed="false">
      <c r="A72" s="11"/>
      <c r="B72" s="12"/>
      <c r="C72" s="13"/>
      <c r="D72" s="14" t="str">
        <f aca="false">IF(C72="","",IFERROR(VLOOKUP(C72,Equipo!$A$2:$B$4,2,FALSE()),""))</f>
        <v/>
      </c>
      <c r="E72" s="13"/>
      <c r="F72" s="13"/>
      <c r="G72" s="13"/>
      <c r="H72" s="13"/>
      <c r="I72" s="13"/>
    </row>
    <row r="73" customFormat="false" ht="15" hidden="false" customHeight="false" outlineLevel="0" collapsed="false">
      <c r="A73" s="11"/>
      <c r="B73" s="12"/>
      <c r="C73" s="13"/>
      <c r="D73" s="14" t="str">
        <f aca="false">IF(C73="","",IFERROR(VLOOKUP(C73,Equipo!$A$2:$B$4,2,FALSE()),""))</f>
        <v/>
      </c>
      <c r="E73" s="13"/>
      <c r="F73" s="13"/>
      <c r="G73" s="13"/>
      <c r="H73" s="13"/>
      <c r="I73" s="13"/>
    </row>
    <row r="74" customFormat="false" ht="15" hidden="false" customHeight="false" outlineLevel="0" collapsed="false">
      <c r="A74" s="11"/>
      <c r="B74" s="12"/>
      <c r="C74" s="13"/>
      <c r="D74" s="14" t="str">
        <f aca="false">IF(C74="","",IFERROR(VLOOKUP(C74,Equipo!$A$2:$B$4,2,FALSE()),""))</f>
        <v/>
      </c>
      <c r="E74" s="13"/>
      <c r="F74" s="13"/>
      <c r="G74" s="13"/>
      <c r="H74" s="13"/>
      <c r="I74" s="13"/>
    </row>
    <row r="75" customFormat="false" ht="15" hidden="false" customHeight="false" outlineLevel="0" collapsed="false">
      <c r="A75" s="11"/>
      <c r="B75" s="12"/>
      <c r="C75" s="13"/>
      <c r="D75" s="14" t="str">
        <f aca="false">IF(C75="","",IFERROR(VLOOKUP(C75,Equipo!$A$2:$B$4,2,FALSE()),""))</f>
        <v/>
      </c>
      <c r="E75" s="13"/>
      <c r="F75" s="13"/>
      <c r="G75" s="13"/>
      <c r="H75" s="13"/>
      <c r="I75" s="13"/>
    </row>
    <row r="76" customFormat="false" ht="15" hidden="false" customHeight="false" outlineLevel="0" collapsed="false">
      <c r="A76" s="11"/>
      <c r="B76" s="12"/>
      <c r="C76" s="13"/>
      <c r="D76" s="14" t="str">
        <f aca="false">IF(C76="","",IFERROR(VLOOKUP(C76,Equipo!$A$2:$B$4,2,FALSE()),""))</f>
        <v/>
      </c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1"/>
      <c r="B77" s="12"/>
      <c r="C77" s="13"/>
      <c r="D77" s="14" t="str">
        <f aca="false">IF(C77="","",IFERROR(VLOOKUP(C77,Equipo!$A$2:$B$4,2,FALSE()),""))</f>
        <v/>
      </c>
      <c r="E77" s="13"/>
      <c r="F77" s="13"/>
      <c r="G77" s="13"/>
      <c r="H77" s="13"/>
      <c r="I77" s="13"/>
    </row>
    <row r="78" customFormat="false" ht="15" hidden="false" customHeight="false" outlineLevel="0" collapsed="false">
      <c r="A78" s="11"/>
      <c r="B78" s="12"/>
      <c r="C78" s="13"/>
      <c r="D78" s="14" t="str">
        <f aca="false">IF(C78="","",IFERROR(VLOOKUP(C78,Equipo!$A$2:$B$4,2,FALSE()),""))</f>
        <v/>
      </c>
      <c r="E78" s="13"/>
      <c r="F78" s="13"/>
      <c r="G78" s="13"/>
      <c r="H78" s="13"/>
      <c r="I78" s="13"/>
    </row>
    <row r="79" customFormat="false" ht="15" hidden="false" customHeight="false" outlineLevel="0" collapsed="false">
      <c r="A79" s="11"/>
      <c r="B79" s="12"/>
      <c r="C79" s="13"/>
      <c r="D79" s="14" t="str">
        <f aca="false">IF(C79="","",IFERROR(VLOOKUP(C79,Equipo!$A$2:$B$4,2,FALSE()),""))</f>
        <v/>
      </c>
      <c r="E79" s="13"/>
      <c r="F79" s="13"/>
      <c r="G79" s="13"/>
      <c r="H79" s="13"/>
      <c r="I79" s="13"/>
    </row>
    <row r="80" customFormat="false" ht="15" hidden="false" customHeight="false" outlineLevel="0" collapsed="false">
      <c r="A80" s="11"/>
      <c r="B80" s="12"/>
      <c r="C80" s="13"/>
      <c r="D80" s="14" t="str">
        <f aca="false">IF(C80="","",IFERROR(VLOOKUP(C80,Equipo!$A$2:$B$4,2,FALSE()),""))</f>
        <v/>
      </c>
      <c r="E80" s="13"/>
      <c r="F80" s="13"/>
      <c r="G80" s="13"/>
      <c r="H80" s="13"/>
      <c r="I80" s="13"/>
    </row>
    <row r="81" customFormat="false" ht="15" hidden="false" customHeight="false" outlineLevel="0" collapsed="false">
      <c r="A81" s="11"/>
      <c r="B81" s="12"/>
      <c r="C81" s="13"/>
      <c r="D81" s="14" t="str">
        <f aca="false">IF(C81="","",IFERROR(VLOOKUP(C81,Equipo!$A$2:$B$4,2,FALSE()),""))</f>
        <v/>
      </c>
      <c r="E81" s="13"/>
      <c r="F81" s="13"/>
      <c r="G81" s="13"/>
      <c r="H81" s="13"/>
      <c r="I81" s="13"/>
    </row>
    <row r="82" customFormat="false" ht="15" hidden="false" customHeight="false" outlineLevel="0" collapsed="false">
      <c r="A82" s="11"/>
      <c r="B82" s="12"/>
      <c r="C82" s="13"/>
      <c r="D82" s="14" t="str">
        <f aca="false">IF(C82="","",IFERROR(VLOOKUP(C82,Equipo!$A$2:$B$4,2,FALSE()),""))</f>
        <v/>
      </c>
      <c r="E82" s="13"/>
      <c r="F82" s="13"/>
      <c r="G82" s="13"/>
      <c r="H82" s="13"/>
      <c r="I82" s="13"/>
    </row>
    <row r="83" customFormat="false" ht="15" hidden="false" customHeight="false" outlineLevel="0" collapsed="false">
      <c r="A83" s="11"/>
      <c r="B83" s="12"/>
      <c r="C83" s="13"/>
      <c r="D83" s="14" t="str">
        <f aca="false">IF(C83="","",IFERROR(VLOOKUP(C83,Equipo!$A$2:$B$4,2,FALSE()),""))</f>
        <v/>
      </c>
      <c r="E83" s="13"/>
      <c r="F83" s="13"/>
      <c r="G83" s="13"/>
      <c r="H83" s="13"/>
      <c r="I83" s="13"/>
    </row>
    <row r="84" customFormat="false" ht="15" hidden="false" customHeight="false" outlineLevel="0" collapsed="false">
      <c r="A84" s="11"/>
      <c r="B84" s="12"/>
      <c r="C84" s="13"/>
      <c r="D84" s="14" t="str">
        <f aca="false">IF(C84="","",IFERROR(VLOOKUP(C84,Equipo!$A$2:$B$4,2,FALSE()),""))</f>
        <v/>
      </c>
      <c r="E84" s="13"/>
      <c r="F84" s="13"/>
      <c r="G84" s="13"/>
      <c r="H84" s="13"/>
      <c r="I84" s="13"/>
    </row>
    <row r="85" customFormat="false" ht="15" hidden="false" customHeight="false" outlineLevel="0" collapsed="false">
      <c r="A85" s="11"/>
      <c r="B85" s="12"/>
      <c r="C85" s="13"/>
      <c r="D85" s="14" t="str">
        <f aca="false">IF(C85="","",IFERROR(VLOOKUP(C85,Equipo!$A$2:$B$4,2,FALSE()),""))</f>
        <v/>
      </c>
      <c r="E85" s="13"/>
      <c r="F85" s="13"/>
      <c r="G85" s="13"/>
      <c r="H85" s="13"/>
      <c r="I85" s="13"/>
    </row>
    <row r="86" customFormat="false" ht="15" hidden="false" customHeight="false" outlineLevel="0" collapsed="false">
      <c r="A86" s="11"/>
      <c r="B86" s="12"/>
      <c r="C86" s="13"/>
      <c r="D86" s="14" t="str">
        <f aca="false">IF(C86="","",IFERROR(VLOOKUP(C86,Equipo!$A$2:$B$4,2,FALSE()),""))</f>
        <v/>
      </c>
      <c r="E86" s="13"/>
      <c r="F86" s="13"/>
      <c r="G86" s="13"/>
      <c r="H86" s="13"/>
      <c r="I86" s="13"/>
    </row>
    <row r="87" customFormat="false" ht="15" hidden="false" customHeight="false" outlineLevel="0" collapsed="false">
      <c r="A87" s="11"/>
      <c r="B87" s="12"/>
      <c r="C87" s="13"/>
      <c r="D87" s="14" t="str">
        <f aca="false">IF(C87="","",IFERROR(VLOOKUP(C87,Equipo!$A$2:$B$4,2,FALSE()),""))</f>
        <v/>
      </c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11"/>
      <c r="B88" s="12"/>
      <c r="C88" s="13"/>
      <c r="D88" s="14" t="str">
        <f aca="false">IF(C88="","",IFERROR(VLOOKUP(C88,Equipo!$A$2:$B$4,2,FALSE()),""))</f>
        <v/>
      </c>
      <c r="E88" s="13"/>
      <c r="F88" s="13"/>
      <c r="G88" s="13"/>
      <c r="H88" s="13"/>
      <c r="I88" s="13"/>
    </row>
    <row r="89" customFormat="false" ht="15" hidden="false" customHeight="false" outlineLevel="0" collapsed="false">
      <c r="A89" s="11"/>
      <c r="B89" s="12"/>
      <c r="C89" s="13"/>
      <c r="D89" s="14" t="str">
        <f aca="false">IF(C89="","",IFERROR(VLOOKUP(C89,Equipo!$A$2:$B$4,2,FALSE()),""))</f>
        <v/>
      </c>
      <c r="E89" s="13"/>
      <c r="F89" s="13"/>
      <c r="G89" s="13"/>
      <c r="H89" s="13"/>
      <c r="I89" s="13"/>
    </row>
    <row r="90" customFormat="false" ht="15" hidden="false" customHeight="false" outlineLevel="0" collapsed="false">
      <c r="A90" s="11"/>
      <c r="B90" s="12"/>
      <c r="C90" s="13"/>
      <c r="D90" s="14" t="str">
        <f aca="false">IF(C90="","",IFERROR(VLOOKUP(C90,Equipo!$A$2:$B$4,2,FALSE()),""))</f>
        <v/>
      </c>
      <c r="E90" s="13"/>
      <c r="F90" s="13"/>
      <c r="G90" s="13"/>
      <c r="H90" s="13"/>
      <c r="I90" s="13"/>
    </row>
    <row r="91" customFormat="false" ht="15" hidden="false" customHeight="false" outlineLevel="0" collapsed="false">
      <c r="A91" s="11"/>
      <c r="B91" s="12"/>
      <c r="C91" s="13"/>
      <c r="D91" s="14" t="str">
        <f aca="false">IF(C91="","",IFERROR(VLOOKUP(C91,Equipo!$A$2:$B$4,2,FALSE()),""))</f>
        <v/>
      </c>
      <c r="E91" s="13"/>
      <c r="F91" s="13"/>
      <c r="G91" s="13"/>
      <c r="H91" s="13"/>
      <c r="I91" s="13"/>
    </row>
    <row r="92" customFormat="false" ht="15" hidden="false" customHeight="false" outlineLevel="0" collapsed="false">
      <c r="A92" s="11"/>
      <c r="B92" s="12"/>
      <c r="C92" s="13"/>
      <c r="D92" s="14" t="str">
        <f aca="false">IF(C92="","",IFERROR(VLOOKUP(C92,Equipo!$A$2:$B$4,2,FALSE()),""))</f>
        <v/>
      </c>
      <c r="E92" s="13"/>
      <c r="F92" s="13"/>
      <c r="G92" s="13"/>
      <c r="H92" s="13"/>
      <c r="I92" s="13"/>
    </row>
    <row r="93" customFormat="false" ht="15" hidden="false" customHeight="false" outlineLevel="0" collapsed="false">
      <c r="A93" s="11"/>
      <c r="B93" s="12"/>
      <c r="C93" s="13"/>
      <c r="D93" s="14" t="str">
        <f aca="false">IF(C93="","",IFERROR(VLOOKUP(C93,Equipo!$A$2:$B$4,2,FALSE()),""))</f>
        <v/>
      </c>
      <c r="E93" s="13"/>
      <c r="F93" s="13"/>
      <c r="G93" s="13"/>
      <c r="H93" s="13"/>
      <c r="I93" s="13"/>
    </row>
    <row r="94" customFormat="false" ht="15" hidden="false" customHeight="false" outlineLevel="0" collapsed="false">
      <c r="A94" s="11"/>
      <c r="B94" s="12"/>
      <c r="C94" s="13"/>
      <c r="D94" s="14" t="str">
        <f aca="false">IF(C94="","",IFERROR(VLOOKUP(C94,Equipo!$A$2:$B$4,2,FALSE()),""))</f>
        <v/>
      </c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1"/>
      <c r="B95" s="12"/>
      <c r="C95" s="13"/>
      <c r="D95" s="14" t="str">
        <f aca="false">IF(C95="","",IFERROR(VLOOKUP(C95,Equipo!$A$2:$B$4,2,FALSE()),""))</f>
        <v/>
      </c>
      <c r="E95" s="13"/>
      <c r="F95" s="13"/>
      <c r="G95" s="13"/>
      <c r="H95" s="13"/>
      <c r="I95" s="13"/>
    </row>
    <row r="96" customFormat="false" ht="15" hidden="false" customHeight="false" outlineLevel="0" collapsed="false">
      <c r="A96" s="11"/>
      <c r="B96" s="12"/>
      <c r="C96" s="13"/>
      <c r="D96" s="14" t="str">
        <f aca="false">IF(C96="","",IFERROR(VLOOKUP(C96,Equipo!$A$2:$B$4,2,FALSE()),""))</f>
        <v/>
      </c>
      <c r="E96" s="13"/>
      <c r="F96" s="13"/>
      <c r="G96" s="13"/>
      <c r="H96" s="13"/>
      <c r="I96" s="13"/>
    </row>
    <row r="97" customFormat="false" ht="15" hidden="false" customHeight="false" outlineLevel="0" collapsed="false">
      <c r="A97" s="11"/>
      <c r="B97" s="12"/>
      <c r="C97" s="13"/>
      <c r="D97" s="14" t="str">
        <f aca="false">IF(C97="","",IFERROR(VLOOKUP(C97,Equipo!$A$2:$B$4,2,FALSE()),""))</f>
        <v/>
      </c>
      <c r="E97" s="13"/>
      <c r="F97" s="13"/>
      <c r="G97" s="13"/>
      <c r="H97" s="13"/>
      <c r="I97" s="13"/>
    </row>
    <row r="98" customFormat="false" ht="15" hidden="false" customHeight="false" outlineLevel="0" collapsed="false">
      <c r="A98" s="11"/>
      <c r="B98" s="12"/>
      <c r="C98" s="13"/>
      <c r="D98" s="14" t="str">
        <f aca="false">IF(C98="","",IFERROR(VLOOKUP(C98,Equipo!$A$2:$B$4,2,FALSE()),""))</f>
        <v/>
      </c>
      <c r="E98" s="13"/>
      <c r="F98" s="13"/>
      <c r="G98" s="13"/>
      <c r="H98" s="13"/>
      <c r="I98" s="13"/>
    </row>
    <row r="99" customFormat="false" ht="15" hidden="false" customHeight="false" outlineLevel="0" collapsed="false">
      <c r="A99" s="11"/>
      <c r="B99" s="12"/>
      <c r="C99" s="13"/>
      <c r="D99" s="14" t="str">
        <f aca="false">IF(C99="","",IFERROR(VLOOKUP(C99,Equipo!$A$2:$B$4,2,FALSE()),""))</f>
        <v/>
      </c>
      <c r="E99" s="13"/>
      <c r="F99" s="13"/>
      <c r="G99" s="13"/>
      <c r="H99" s="13"/>
      <c r="I99" s="13"/>
    </row>
    <row r="100" customFormat="false" ht="15" hidden="false" customHeight="false" outlineLevel="0" collapsed="false">
      <c r="A100" s="11"/>
      <c r="B100" s="12"/>
      <c r="C100" s="13"/>
      <c r="D100" s="14" t="str">
        <f aca="false">IF(C100="","",IFERROR(VLOOKUP(C100,Equipo!$A$2:$B$4,2,FALSE()),""))</f>
        <v/>
      </c>
      <c r="E100" s="13"/>
      <c r="F100" s="13"/>
      <c r="G100" s="13"/>
      <c r="H100" s="13"/>
      <c r="I100" s="13"/>
    </row>
    <row r="101" customFormat="false" ht="15" hidden="false" customHeight="false" outlineLevel="0" collapsed="false">
      <c r="A101" s="11"/>
      <c r="B101" s="12"/>
      <c r="C101" s="13"/>
      <c r="D101" s="14" t="str">
        <f aca="false">IF(C101="","",IFERROR(VLOOKUP(C101,Equipo!$A$2:$B$4,2,FALSE()),""))</f>
        <v/>
      </c>
      <c r="E101" s="13"/>
      <c r="F101" s="13"/>
      <c r="G101" s="13"/>
      <c r="H101" s="13"/>
      <c r="I101" s="13"/>
    </row>
    <row r="102" customFormat="false" ht="15" hidden="false" customHeight="false" outlineLevel="0" collapsed="false">
      <c r="A102" s="11"/>
      <c r="B102" s="12"/>
      <c r="C102" s="13"/>
      <c r="D102" s="14" t="str">
        <f aca="false">IF(C102="","",IFERROR(VLOOKUP(C102,Equipo!$A$2:$B$4,2,FALSE()),""))</f>
        <v/>
      </c>
      <c r="E102" s="13"/>
      <c r="F102" s="13"/>
      <c r="G102" s="13"/>
      <c r="H102" s="13"/>
      <c r="I102" s="13"/>
    </row>
    <row r="103" customFormat="false" ht="15" hidden="false" customHeight="false" outlineLevel="0" collapsed="false">
      <c r="A103" s="11"/>
      <c r="B103" s="12"/>
      <c r="C103" s="13"/>
      <c r="D103" s="14" t="str">
        <f aca="false">IF(C103="","",IFERROR(VLOOKUP(C103,Equipo!$A$2:$B$4,2,FALSE()),""))</f>
        <v/>
      </c>
      <c r="E103" s="13"/>
      <c r="F103" s="13"/>
      <c r="G103" s="13"/>
      <c r="H103" s="13"/>
      <c r="I103" s="13"/>
    </row>
    <row r="104" customFormat="false" ht="15" hidden="false" customHeight="false" outlineLevel="0" collapsed="false">
      <c r="A104" s="11"/>
      <c r="B104" s="12"/>
      <c r="C104" s="13"/>
      <c r="D104" s="14" t="str">
        <f aca="false">IF(C104="","",IFERROR(VLOOKUP(C104,Equipo!$A$2:$B$4,2,FALSE()),""))</f>
        <v/>
      </c>
      <c r="E104" s="13"/>
      <c r="F104" s="13"/>
      <c r="G104" s="13"/>
      <c r="H104" s="13"/>
      <c r="I104" s="13"/>
    </row>
    <row r="105" customFormat="false" ht="15" hidden="false" customHeight="false" outlineLevel="0" collapsed="false">
      <c r="A105" s="11"/>
      <c r="B105" s="12"/>
      <c r="C105" s="13"/>
      <c r="D105" s="14" t="str">
        <f aca="false">IF(C105="","",IFERROR(VLOOKUP(C105,Equipo!$A$2:$B$4,2,FALSE()),""))</f>
        <v/>
      </c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1"/>
      <c r="B106" s="12"/>
      <c r="C106" s="13"/>
      <c r="D106" s="14" t="str">
        <f aca="false">IF(C106="","",IFERROR(VLOOKUP(C106,Equipo!$A$2:$B$4,2,FALSE()),""))</f>
        <v/>
      </c>
      <c r="E106" s="13"/>
      <c r="F106" s="13"/>
      <c r="G106" s="13"/>
      <c r="H106" s="13"/>
      <c r="I106" s="13"/>
    </row>
    <row r="107" customFormat="false" ht="15" hidden="false" customHeight="false" outlineLevel="0" collapsed="false">
      <c r="A107" s="11"/>
      <c r="B107" s="12"/>
      <c r="C107" s="13"/>
      <c r="D107" s="14" t="str">
        <f aca="false">IF(C107="","",IFERROR(VLOOKUP(C107,Equipo!$A$2:$B$4,2,FALSE()),""))</f>
        <v/>
      </c>
      <c r="E107" s="13"/>
      <c r="F107" s="13"/>
      <c r="G107" s="13"/>
      <c r="H107" s="13"/>
      <c r="I107" s="13"/>
    </row>
    <row r="108" customFormat="false" ht="15" hidden="false" customHeight="false" outlineLevel="0" collapsed="false">
      <c r="A108" s="11"/>
      <c r="B108" s="12"/>
      <c r="C108" s="13"/>
      <c r="D108" s="14" t="str">
        <f aca="false">IF(C108="","",IFERROR(VLOOKUP(C108,Equipo!$A$2:$B$4,2,FALSE()),""))</f>
        <v/>
      </c>
      <c r="E108" s="13"/>
      <c r="F108" s="13"/>
      <c r="G108" s="13"/>
      <c r="H108" s="13"/>
      <c r="I108" s="13"/>
    </row>
    <row r="109" customFormat="false" ht="15" hidden="false" customHeight="false" outlineLevel="0" collapsed="false">
      <c r="A109" s="11"/>
      <c r="B109" s="12"/>
      <c r="C109" s="13"/>
      <c r="D109" s="14" t="str">
        <f aca="false">IF(C109="","",IFERROR(VLOOKUP(C109,Equipo!$A$2:$B$4,2,FALSE()),""))</f>
        <v/>
      </c>
      <c r="E109" s="13"/>
      <c r="F109" s="13"/>
      <c r="G109" s="13"/>
      <c r="H109" s="13"/>
      <c r="I109" s="13"/>
    </row>
    <row r="110" customFormat="false" ht="15" hidden="false" customHeight="false" outlineLevel="0" collapsed="false">
      <c r="A110" s="11"/>
      <c r="B110" s="12"/>
      <c r="C110" s="13"/>
      <c r="D110" s="14" t="str">
        <f aca="false">IF(C110="","",IFERROR(VLOOKUP(C110,Equipo!$A$2:$B$4,2,FALSE()),""))</f>
        <v/>
      </c>
      <c r="E110" s="13"/>
      <c r="F110" s="13"/>
      <c r="G110" s="13"/>
      <c r="H110" s="13"/>
      <c r="I110" s="13"/>
    </row>
    <row r="111" customFormat="false" ht="15" hidden="false" customHeight="false" outlineLevel="0" collapsed="false">
      <c r="A111" s="11"/>
      <c r="B111" s="12"/>
      <c r="C111" s="13"/>
      <c r="D111" s="14" t="str">
        <f aca="false">IF(C111="","",IFERROR(VLOOKUP(C111,Equipo!$A$2:$B$4,2,FALSE()),""))</f>
        <v/>
      </c>
      <c r="E111" s="13"/>
      <c r="F111" s="13"/>
      <c r="G111" s="13"/>
      <c r="H111" s="13"/>
      <c r="I111" s="13"/>
    </row>
    <row r="112" customFormat="false" ht="15" hidden="false" customHeight="false" outlineLevel="0" collapsed="false">
      <c r="A112" s="11"/>
      <c r="B112" s="12"/>
      <c r="C112" s="13"/>
      <c r="D112" s="14" t="str">
        <f aca="false">IF(C112="","",IFERROR(VLOOKUP(C112,Equipo!$A$2:$B$4,2,FALSE()),""))</f>
        <v/>
      </c>
      <c r="E112" s="13"/>
      <c r="F112" s="13"/>
      <c r="G112" s="13"/>
      <c r="H112" s="13"/>
      <c r="I112" s="13"/>
    </row>
    <row r="113" customFormat="false" ht="15" hidden="false" customHeight="false" outlineLevel="0" collapsed="false">
      <c r="A113" s="11"/>
      <c r="B113" s="12"/>
      <c r="C113" s="13"/>
      <c r="D113" s="14" t="str">
        <f aca="false">IF(C113="","",IFERROR(VLOOKUP(C113,Equipo!$A$2:$B$4,2,FALSE()),""))</f>
        <v/>
      </c>
      <c r="E113" s="13"/>
      <c r="F113" s="13"/>
      <c r="G113" s="13"/>
      <c r="H113" s="13"/>
      <c r="I113" s="13"/>
    </row>
    <row r="114" customFormat="false" ht="15" hidden="false" customHeight="false" outlineLevel="0" collapsed="false">
      <c r="A114" s="11"/>
      <c r="B114" s="12"/>
      <c r="C114" s="13"/>
      <c r="D114" s="14" t="str">
        <f aca="false">IF(C114="","",IFERROR(VLOOKUP(C114,Equipo!$A$2:$B$4,2,FALSE()),""))</f>
        <v/>
      </c>
      <c r="E114" s="13"/>
      <c r="F114" s="13"/>
      <c r="G114" s="13"/>
      <c r="H114" s="13"/>
      <c r="I114" s="13"/>
    </row>
    <row r="115" customFormat="false" ht="15" hidden="false" customHeight="false" outlineLevel="0" collapsed="false">
      <c r="A115" s="11"/>
      <c r="B115" s="12"/>
      <c r="C115" s="13"/>
      <c r="D115" s="14" t="str">
        <f aca="false">IF(C115="","",IFERROR(VLOOKUP(C115,Equipo!$A$2:$B$4,2,FALSE()),""))</f>
        <v/>
      </c>
      <c r="E115" s="13"/>
      <c r="F115" s="13"/>
      <c r="G115" s="13"/>
      <c r="H115" s="13"/>
      <c r="I115" s="13"/>
    </row>
    <row r="116" customFormat="false" ht="15" hidden="false" customHeight="false" outlineLevel="0" collapsed="false">
      <c r="A116" s="11"/>
      <c r="B116" s="12"/>
      <c r="C116" s="13"/>
      <c r="D116" s="14" t="str">
        <f aca="false">IF(C116="","",IFERROR(VLOOKUP(C116,Equipo!$A$2:$B$4,2,FALSE()),""))</f>
        <v/>
      </c>
      <c r="E116" s="13"/>
      <c r="F116" s="13"/>
      <c r="G116" s="13"/>
      <c r="H116" s="13"/>
      <c r="I116" s="13"/>
    </row>
    <row r="117" customFormat="false" ht="15" hidden="false" customHeight="false" outlineLevel="0" collapsed="false">
      <c r="A117" s="11"/>
      <c r="B117" s="12"/>
      <c r="C117" s="13"/>
      <c r="D117" s="14" t="str">
        <f aca="false">IF(C117="","",IFERROR(VLOOKUP(C117,Equipo!$A$2:$B$4,2,FALSE()),""))</f>
        <v/>
      </c>
      <c r="E117" s="13"/>
      <c r="F117" s="13"/>
      <c r="G117" s="13"/>
      <c r="H117" s="13"/>
      <c r="I117" s="13"/>
    </row>
    <row r="118" customFormat="false" ht="15" hidden="false" customHeight="false" outlineLevel="0" collapsed="false">
      <c r="A118" s="11"/>
      <c r="B118" s="12"/>
      <c r="C118" s="13"/>
      <c r="D118" s="14" t="str">
        <f aca="false">IF(C118="","",IFERROR(VLOOKUP(C118,Equipo!$A$2:$B$4,2,FALSE()),""))</f>
        <v/>
      </c>
      <c r="E118" s="13"/>
      <c r="F118" s="13"/>
      <c r="G118" s="13"/>
      <c r="H118" s="13"/>
      <c r="I118" s="13"/>
    </row>
    <row r="119" customFormat="false" ht="15" hidden="false" customHeight="false" outlineLevel="0" collapsed="false">
      <c r="A119" s="11"/>
      <c r="B119" s="12"/>
      <c r="C119" s="13"/>
      <c r="D119" s="14" t="str">
        <f aca="false">IF(C119="","",IFERROR(VLOOKUP(C119,Equipo!$A$2:$B$4,2,FALSE()),""))</f>
        <v/>
      </c>
      <c r="E119" s="13"/>
      <c r="F119" s="13"/>
      <c r="G119" s="13"/>
      <c r="H119" s="13"/>
      <c r="I119" s="13"/>
    </row>
    <row r="120" customFormat="false" ht="15" hidden="false" customHeight="false" outlineLevel="0" collapsed="false">
      <c r="A120" s="11"/>
      <c r="B120" s="12"/>
      <c r="C120" s="13"/>
      <c r="D120" s="14" t="str">
        <f aca="false">IF(C120="","",IFERROR(VLOOKUP(C120,Equipo!$A$2:$B$4,2,FALSE()),""))</f>
        <v/>
      </c>
      <c r="E120" s="13"/>
      <c r="F120" s="13"/>
      <c r="G120" s="13"/>
      <c r="H120" s="13"/>
      <c r="I120" s="13"/>
    </row>
    <row r="121" customFormat="false" ht="15" hidden="false" customHeight="false" outlineLevel="0" collapsed="false">
      <c r="A121" s="11"/>
      <c r="B121" s="12"/>
      <c r="C121" s="13"/>
      <c r="D121" s="14" t="str">
        <f aca="false">IF(C121="","",IFERROR(VLOOKUP(C121,Equipo!$A$2:$B$4,2,FALSE()),""))</f>
        <v/>
      </c>
      <c r="E121" s="13"/>
      <c r="F121" s="13"/>
      <c r="G121" s="13"/>
      <c r="H121" s="13"/>
      <c r="I121" s="13"/>
    </row>
    <row r="122" customFormat="false" ht="15" hidden="false" customHeight="false" outlineLevel="0" collapsed="false">
      <c r="A122" s="11"/>
      <c r="B122" s="12"/>
      <c r="C122" s="13"/>
      <c r="D122" s="14" t="str">
        <f aca="false">IF(C122="","",IFERROR(VLOOKUP(C122,Equipo!$A$2:$B$4,2,FALSE()),""))</f>
        <v/>
      </c>
      <c r="E122" s="13"/>
      <c r="F122" s="13"/>
      <c r="G122" s="13"/>
      <c r="H122" s="13"/>
      <c r="I122" s="13"/>
    </row>
    <row r="123" customFormat="false" ht="15" hidden="false" customHeight="false" outlineLevel="0" collapsed="false">
      <c r="A123" s="11"/>
      <c r="B123" s="12"/>
      <c r="C123" s="13"/>
      <c r="D123" s="14" t="str">
        <f aca="false">IF(C123="","",IFERROR(VLOOKUP(C123,Equipo!$A$2:$B$4,2,FALSE()),""))</f>
        <v/>
      </c>
      <c r="E123" s="13"/>
      <c r="F123" s="13"/>
      <c r="G123" s="13"/>
      <c r="H123" s="13"/>
      <c r="I123" s="13"/>
    </row>
    <row r="124" customFormat="false" ht="15" hidden="false" customHeight="false" outlineLevel="0" collapsed="false">
      <c r="A124" s="11"/>
      <c r="B124" s="12"/>
      <c r="C124" s="13"/>
      <c r="D124" s="14" t="str">
        <f aca="false">IF(C124="","",IFERROR(VLOOKUP(C124,Equipo!$A$2:$B$4,2,FALSE()),""))</f>
        <v/>
      </c>
      <c r="E124" s="13"/>
      <c r="F124" s="13"/>
      <c r="G124" s="13"/>
      <c r="H124" s="13"/>
      <c r="I124" s="13"/>
    </row>
    <row r="125" customFormat="false" ht="15" hidden="false" customHeight="false" outlineLevel="0" collapsed="false">
      <c r="A125" s="11"/>
      <c r="B125" s="12"/>
      <c r="C125" s="13"/>
      <c r="D125" s="14" t="str">
        <f aca="false">IF(C125="","",IFERROR(VLOOKUP(C125,Equipo!$A$2:$B$4,2,FALSE()),""))</f>
        <v/>
      </c>
      <c r="E125" s="13"/>
      <c r="F125" s="13"/>
      <c r="G125" s="13"/>
      <c r="H125" s="13"/>
      <c r="I125" s="13"/>
    </row>
    <row r="126" customFormat="false" ht="15" hidden="false" customHeight="false" outlineLevel="0" collapsed="false">
      <c r="A126" s="11"/>
      <c r="B126" s="12"/>
      <c r="C126" s="13"/>
      <c r="D126" s="14" t="str">
        <f aca="false">IF(C126="","",IFERROR(VLOOKUP(C126,Equipo!$A$2:$B$4,2,FALSE()),""))</f>
        <v/>
      </c>
      <c r="E126" s="13"/>
      <c r="F126" s="13"/>
      <c r="G126" s="13"/>
      <c r="H126" s="13"/>
      <c r="I126" s="13"/>
    </row>
    <row r="127" customFormat="false" ht="15" hidden="false" customHeight="false" outlineLevel="0" collapsed="false">
      <c r="A127" s="11"/>
      <c r="B127" s="12"/>
      <c r="C127" s="13"/>
      <c r="D127" s="14" t="str">
        <f aca="false">IF(C127="","",IFERROR(VLOOKUP(C127,Equipo!$A$2:$B$4,2,FALSE()),""))</f>
        <v/>
      </c>
      <c r="E127" s="13"/>
      <c r="F127" s="13"/>
      <c r="G127" s="13"/>
      <c r="H127" s="13"/>
      <c r="I127" s="13"/>
    </row>
    <row r="128" customFormat="false" ht="15" hidden="false" customHeight="false" outlineLevel="0" collapsed="false">
      <c r="A128" s="11"/>
      <c r="B128" s="12"/>
      <c r="C128" s="13"/>
      <c r="D128" s="14" t="str">
        <f aca="false">IF(C128="","",IFERROR(VLOOKUP(C128,Equipo!$A$2:$B$4,2,FALSE()),""))</f>
        <v/>
      </c>
      <c r="E128" s="13"/>
      <c r="F128" s="13"/>
      <c r="G128" s="13"/>
      <c r="H128" s="13"/>
      <c r="I128" s="13"/>
    </row>
    <row r="129" customFormat="false" ht="15" hidden="false" customHeight="false" outlineLevel="0" collapsed="false">
      <c r="A129" s="11"/>
      <c r="B129" s="12"/>
      <c r="C129" s="13"/>
      <c r="D129" s="14" t="str">
        <f aca="false">IF(C129="","",IFERROR(VLOOKUP(C129,Equipo!$A$2:$B$4,2,FALSE()),""))</f>
        <v/>
      </c>
      <c r="E129" s="13"/>
      <c r="F129" s="13"/>
      <c r="G129" s="13"/>
      <c r="H129" s="13"/>
      <c r="I129" s="13"/>
    </row>
    <row r="130" customFormat="false" ht="15" hidden="false" customHeight="false" outlineLevel="0" collapsed="false">
      <c r="A130" s="11"/>
      <c r="B130" s="12"/>
      <c r="C130" s="13"/>
      <c r="D130" s="14" t="str">
        <f aca="false">IF(C130="","",IFERROR(VLOOKUP(C130,Equipo!$A$2:$B$4,2,FALSE()),""))</f>
        <v/>
      </c>
      <c r="E130" s="13"/>
      <c r="F130" s="13"/>
      <c r="G130" s="13"/>
      <c r="H130" s="13"/>
      <c r="I130" s="13"/>
    </row>
    <row r="131" customFormat="false" ht="15" hidden="false" customHeight="false" outlineLevel="0" collapsed="false">
      <c r="A131" s="11"/>
      <c r="B131" s="12"/>
      <c r="C131" s="13"/>
      <c r="D131" s="14" t="str">
        <f aca="false">IF(C131="","",IFERROR(VLOOKUP(C131,Equipo!$A$2:$B$4,2,FALSE()),""))</f>
        <v/>
      </c>
      <c r="E131" s="13"/>
      <c r="F131" s="13"/>
      <c r="G131" s="13"/>
      <c r="H131" s="13"/>
      <c r="I131" s="13"/>
    </row>
    <row r="132" customFormat="false" ht="15" hidden="false" customHeight="false" outlineLevel="0" collapsed="false">
      <c r="A132" s="11"/>
      <c r="B132" s="12"/>
      <c r="C132" s="13"/>
      <c r="D132" s="14" t="str">
        <f aca="false">IF(C132="","",IFERROR(VLOOKUP(C132,Equipo!$A$2:$B$4,2,FALSE()),""))</f>
        <v/>
      </c>
      <c r="E132" s="13"/>
      <c r="F132" s="13"/>
      <c r="G132" s="13"/>
      <c r="H132" s="13"/>
      <c r="I132" s="13"/>
    </row>
    <row r="133" customFormat="false" ht="15" hidden="false" customHeight="false" outlineLevel="0" collapsed="false">
      <c r="A133" s="11"/>
      <c r="B133" s="12"/>
      <c r="C133" s="13"/>
      <c r="D133" s="14" t="str">
        <f aca="false">IF(C133="","",IFERROR(VLOOKUP(C133,Equipo!$A$2:$B$4,2,FALSE()),""))</f>
        <v/>
      </c>
      <c r="E133" s="13"/>
      <c r="F133" s="13"/>
      <c r="G133" s="13"/>
      <c r="H133" s="13"/>
      <c r="I133" s="13"/>
    </row>
    <row r="134" customFormat="false" ht="15" hidden="false" customHeight="false" outlineLevel="0" collapsed="false">
      <c r="A134" s="11"/>
      <c r="B134" s="12"/>
      <c r="C134" s="13"/>
      <c r="D134" s="14" t="str">
        <f aca="false">IF(C134="","",IFERROR(VLOOKUP(C134,Equipo!$A$2:$B$4,2,FALSE()),""))</f>
        <v/>
      </c>
      <c r="E134" s="13"/>
      <c r="F134" s="13"/>
      <c r="G134" s="13"/>
      <c r="H134" s="13"/>
      <c r="I134" s="13"/>
    </row>
    <row r="135" customFormat="false" ht="15" hidden="false" customHeight="false" outlineLevel="0" collapsed="false">
      <c r="A135" s="11"/>
      <c r="B135" s="12"/>
      <c r="C135" s="13"/>
      <c r="D135" s="14" t="str">
        <f aca="false">IF(C135="","",IFERROR(VLOOKUP(C135,Equipo!$A$2:$B$4,2,FALSE()),""))</f>
        <v/>
      </c>
      <c r="E135" s="13"/>
      <c r="F135" s="13"/>
      <c r="G135" s="13"/>
      <c r="H135" s="13"/>
      <c r="I135" s="13"/>
    </row>
    <row r="136" customFormat="false" ht="15" hidden="false" customHeight="false" outlineLevel="0" collapsed="false">
      <c r="A136" s="11"/>
      <c r="B136" s="12"/>
      <c r="C136" s="13"/>
      <c r="D136" s="14" t="str">
        <f aca="false">IF(C136="","",IFERROR(VLOOKUP(C136,Equipo!$A$2:$B$4,2,FALSE()),""))</f>
        <v/>
      </c>
      <c r="E136" s="13"/>
      <c r="F136" s="13"/>
      <c r="G136" s="13"/>
      <c r="H136" s="13"/>
      <c r="I136" s="13"/>
    </row>
    <row r="137" customFormat="false" ht="15" hidden="false" customHeight="false" outlineLevel="0" collapsed="false">
      <c r="A137" s="11"/>
      <c r="B137" s="12"/>
      <c r="C137" s="13"/>
      <c r="D137" s="14" t="str">
        <f aca="false">IF(C137="","",IFERROR(VLOOKUP(C137,Equipo!$A$2:$B$4,2,FALSE()),""))</f>
        <v/>
      </c>
      <c r="E137" s="13"/>
      <c r="F137" s="13"/>
      <c r="G137" s="13"/>
      <c r="H137" s="13"/>
      <c r="I137" s="13"/>
    </row>
    <row r="138" customFormat="false" ht="15" hidden="false" customHeight="false" outlineLevel="0" collapsed="false">
      <c r="A138" s="11"/>
      <c r="B138" s="12"/>
      <c r="C138" s="13"/>
      <c r="D138" s="14" t="str">
        <f aca="false">IF(C138="","",IFERROR(VLOOKUP(C138,Equipo!$A$2:$B$4,2,FALSE()),""))</f>
        <v/>
      </c>
      <c r="E138" s="13"/>
      <c r="F138" s="13"/>
      <c r="G138" s="13"/>
      <c r="H138" s="13"/>
      <c r="I138" s="13"/>
    </row>
    <row r="139" customFormat="false" ht="15" hidden="false" customHeight="false" outlineLevel="0" collapsed="false">
      <c r="A139" s="11"/>
      <c r="B139" s="12"/>
      <c r="C139" s="13"/>
      <c r="D139" s="14" t="str">
        <f aca="false">IF(C139="","",IFERROR(VLOOKUP(C139,Equipo!$A$2:$B$4,2,FALSE()),""))</f>
        <v/>
      </c>
      <c r="E139" s="13"/>
      <c r="F139" s="13"/>
      <c r="G139" s="13"/>
      <c r="H139" s="13"/>
      <c r="I139" s="13"/>
    </row>
    <row r="140" customFormat="false" ht="15" hidden="false" customHeight="false" outlineLevel="0" collapsed="false">
      <c r="A140" s="11"/>
      <c r="B140" s="12"/>
      <c r="C140" s="13"/>
      <c r="D140" s="14" t="str">
        <f aca="false">IF(C140="","",IFERROR(VLOOKUP(C140,Equipo!$A$2:$B$4,2,FALSE()),""))</f>
        <v/>
      </c>
      <c r="E140" s="13"/>
      <c r="F140" s="13"/>
      <c r="G140" s="13"/>
      <c r="H140" s="13"/>
      <c r="I140" s="13"/>
    </row>
    <row r="141" customFormat="false" ht="15" hidden="false" customHeight="false" outlineLevel="0" collapsed="false">
      <c r="A141" s="11"/>
      <c r="B141" s="12"/>
      <c r="C141" s="13"/>
      <c r="D141" s="14" t="str">
        <f aca="false">IF(C141="","",IFERROR(VLOOKUP(C141,Equipo!$A$2:$B$4,2,FALSE()),""))</f>
        <v/>
      </c>
      <c r="E141" s="13"/>
      <c r="F141" s="13"/>
      <c r="G141" s="13"/>
      <c r="H141" s="13"/>
      <c r="I141" s="13"/>
    </row>
    <row r="142" customFormat="false" ht="15" hidden="false" customHeight="false" outlineLevel="0" collapsed="false">
      <c r="A142" s="11"/>
      <c r="B142" s="12"/>
      <c r="C142" s="13"/>
      <c r="D142" s="14" t="str">
        <f aca="false">IF(C142="","",IFERROR(VLOOKUP(C142,Equipo!$A$2:$B$4,2,FALSE()),""))</f>
        <v/>
      </c>
      <c r="E142" s="13"/>
      <c r="F142" s="13"/>
      <c r="G142" s="13"/>
      <c r="H142" s="13"/>
      <c r="I142" s="13"/>
    </row>
    <row r="143" customFormat="false" ht="15" hidden="false" customHeight="false" outlineLevel="0" collapsed="false">
      <c r="A143" s="11"/>
      <c r="B143" s="12"/>
      <c r="C143" s="13"/>
      <c r="D143" s="14" t="str">
        <f aca="false">IF(C143="","",IFERROR(VLOOKUP(C143,Equipo!$A$2:$B$4,2,FALSE()),""))</f>
        <v/>
      </c>
      <c r="E143" s="13"/>
      <c r="F143" s="13"/>
      <c r="G143" s="13"/>
      <c r="H143" s="13"/>
      <c r="I143" s="13"/>
    </row>
    <row r="144" customFormat="false" ht="15" hidden="false" customHeight="false" outlineLevel="0" collapsed="false">
      <c r="A144" s="11"/>
      <c r="B144" s="12"/>
      <c r="C144" s="13"/>
      <c r="D144" s="14" t="str">
        <f aca="false">IF(C144="","",IFERROR(VLOOKUP(C144,Equipo!$A$2:$B$4,2,FALSE()),""))</f>
        <v/>
      </c>
      <c r="E144" s="13"/>
      <c r="F144" s="13"/>
      <c r="G144" s="13"/>
      <c r="H144" s="13"/>
      <c r="I144" s="13"/>
    </row>
    <row r="145" customFormat="false" ht="15" hidden="false" customHeight="false" outlineLevel="0" collapsed="false">
      <c r="A145" s="11"/>
      <c r="B145" s="12"/>
      <c r="C145" s="13"/>
      <c r="D145" s="14" t="str">
        <f aca="false">IF(C145="","",IFERROR(VLOOKUP(C145,Equipo!$A$2:$B$4,2,FALSE()),""))</f>
        <v/>
      </c>
      <c r="E145" s="13"/>
      <c r="F145" s="13"/>
      <c r="G145" s="13"/>
      <c r="H145" s="13"/>
      <c r="I145" s="13"/>
    </row>
    <row r="146" customFormat="false" ht="15" hidden="false" customHeight="false" outlineLevel="0" collapsed="false">
      <c r="A146" s="11"/>
      <c r="B146" s="12"/>
      <c r="C146" s="13"/>
      <c r="D146" s="14" t="str">
        <f aca="false">IF(C146="","",IFERROR(VLOOKUP(C146,Equipo!$A$2:$B$4,2,FALSE()),""))</f>
        <v/>
      </c>
      <c r="E146" s="13"/>
      <c r="F146" s="13"/>
      <c r="G146" s="13"/>
      <c r="H146" s="13"/>
      <c r="I146" s="13"/>
    </row>
    <row r="147" customFormat="false" ht="15" hidden="false" customHeight="false" outlineLevel="0" collapsed="false">
      <c r="A147" s="11"/>
      <c r="B147" s="12"/>
      <c r="C147" s="13"/>
      <c r="D147" s="14" t="str">
        <f aca="false">IF(C147="","",IFERROR(VLOOKUP(C147,Equipo!$A$2:$B$4,2,FALSE()),""))</f>
        <v/>
      </c>
      <c r="E147" s="13"/>
      <c r="F147" s="13"/>
      <c r="G147" s="13"/>
      <c r="H147" s="13"/>
      <c r="I147" s="13"/>
    </row>
    <row r="148" customFormat="false" ht="15" hidden="false" customHeight="false" outlineLevel="0" collapsed="false">
      <c r="A148" s="11"/>
      <c r="B148" s="12"/>
      <c r="C148" s="13"/>
      <c r="D148" s="14" t="str">
        <f aca="false">IF(C148="","",IFERROR(VLOOKUP(C148,Equipo!$A$2:$B$4,2,FALSE()),""))</f>
        <v/>
      </c>
      <c r="E148" s="13"/>
      <c r="F148" s="13"/>
      <c r="G148" s="13"/>
      <c r="H148" s="13"/>
      <c r="I148" s="13"/>
    </row>
    <row r="149" customFormat="false" ht="15" hidden="false" customHeight="false" outlineLevel="0" collapsed="false">
      <c r="A149" s="11"/>
      <c r="B149" s="12"/>
      <c r="C149" s="13"/>
      <c r="D149" s="14" t="str">
        <f aca="false">IF(C149="","",IFERROR(VLOOKUP(C149,Equipo!$A$2:$B$4,2,FALSE()),""))</f>
        <v/>
      </c>
      <c r="E149" s="13"/>
      <c r="F149" s="13"/>
      <c r="G149" s="13"/>
      <c r="H149" s="13"/>
      <c r="I149" s="13"/>
    </row>
    <row r="150" customFormat="false" ht="15" hidden="false" customHeight="false" outlineLevel="0" collapsed="false">
      <c r="A150" s="11"/>
      <c r="B150" s="12"/>
      <c r="C150" s="13"/>
      <c r="D150" s="14" t="str">
        <f aca="false">IF(C150="","",IFERROR(VLOOKUP(C150,Equipo!$A$2:$B$4,2,FALSE()),""))</f>
        <v/>
      </c>
      <c r="E150" s="13"/>
      <c r="F150" s="13"/>
      <c r="G150" s="13"/>
      <c r="H150" s="13"/>
      <c r="I150" s="13"/>
    </row>
    <row r="151" customFormat="false" ht="15" hidden="false" customHeight="false" outlineLevel="0" collapsed="false">
      <c r="A151" s="11"/>
      <c r="B151" s="12"/>
      <c r="C151" s="13"/>
      <c r="D151" s="14" t="str">
        <f aca="false">IF(C151="","",IFERROR(VLOOKUP(C151,Equipo!$A$2:$B$4,2,FALSE()),""))</f>
        <v/>
      </c>
      <c r="E151" s="13"/>
      <c r="F151" s="13"/>
      <c r="G151" s="13"/>
      <c r="H151" s="13"/>
      <c r="I151" s="13"/>
    </row>
    <row r="152" customFormat="false" ht="15" hidden="false" customHeight="false" outlineLevel="0" collapsed="false">
      <c r="A152" s="11"/>
      <c r="B152" s="12"/>
      <c r="C152" s="13"/>
      <c r="D152" s="14" t="str">
        <f aca="false">IF(C152="","",IFERROR(VLOOKUP(C152,Equipo!$A$2:$B$4,2,FALSE()),""))</f>
        <v/>
      </c>
      <c r="E152" s="13"/>
      <c r="F152" s="13"/>
      <c r="G152" s="13"/>
      <c r="H152" s="13"/>
      <c r="I152" s="13"/>
    </row>
    <row r="153" customFormat="false" ht="15" hidden="false" customHeight="false" outlineLevel="0" collapsed="false">
      <c r="A153" s="11"/>
      <c r="B153" s="12"/>
      <c r="C153" s="13"/>
      <c r="D153" s="14" t="str">
        <f aca="false">IF(C153="","",IFERROR(VLOOKUP(C153,Equipo!$A$2:$B$4,2,FALSE()),""))</f>
        <v/>
      </c>
      <c r="E153" s="13"/>
      <c r="F153" s="13"/>
      <c r="G153" s="13"/>
      <c r="H153" s="13"/>
      <c r="I153" s="13"/>
    </row>
    <row r="154" customFormat="false" ht="15" hidden="false" customHeight="false" outlineLevel="0" collapsed="false">
      <c r="A154" s="11"/>
      <c r="B154" s="12"/>
      <c r="C154" s="13"/>
      <c r="D154" s="14" t="str">
        <f aca="false">IF(C154="","",IFERROR(VLOOKUP(C154,Equipo!$A$2:$B$4,2,FALSE()),""))</f>
        <v/>
      </c>
      <c r="E154" s="13"/>
      <c r="F154" s="13"/>
      <c r="G154" s="13"/>
      <c r="H154" s="13"/>
      <c r="I154" s="13"/>
    </row>
    <row r="155" customFormat="false" ht="15" hidden="false" customHeight="false" outlineLevel="0" collapsed="false">
      <c r="A155" s="11"/>
      <c r="B155" s="12"/>
      <c r="C155" s="13"/>
      <c r="D155" s="14" t="str">
        <f aca="false">IF(C155="","",IFERROR(VLOOKUP(C155,Equipo!$A$2:$B$4,2,FALSE()),""))</f>
        <v/>
      </c>
      <c r="E155" s="13"/>
      <c r="F155" s="13"/>
      <c r="G155" s="13"/>
      <c r="H155" s="13"/>
      <c r="I155" s="13"/>
    </row>
    <row r="156" customFormat="false" ht="15" hidden="false" customHeight="false" outlineLevel="0" collapsed="false">
      <c r="A156" s="11"/>
      <c r="B156" s="12"/>
      <c r="C156" s="13"/>
      <c r="D156" s="14" t="str">
        <f aca="false">IF(C156="","",IFERROR(VLOOKUP(C156,Equipo!$A$2:$B$4,2,FALSE()),""))</f>
        <v/>
      </c>
      <c r="E156" s="13"/>
      <c r="F156" s="13"/>
      <c r="G156" s="13"/>
      <c r="H156" s="13"/>
      <c r="I156" s="13"/>
    </row>
    <row r="157" customFormat="false" ht="15" hidden="false" customHeight="false" outlineLevel="0" collapsed="false">
      <c r="A157" s="11"/>
      <c r="B157" s="12"/>
      <c r="C157" s="13"/>
      <c r="D157" s="14" t="str">
        <f aca="false">IF(C157="","",IFERROR(VLOOKUP(C157,Equipo!$A$2:$B$4,2,FALSE()),""))</f>
        <v/>
      </c>
      <c r="E157" s="13"/>
      <c r="F157" s="13"/>
      <c r="G157" s="13"/>
      <c r="H157" s="13"/>
      <c r="I157" s="13"/>
    </row>
    <row r="158" customFormat="false" ht="15" hidden="false" customHeight="false" outlineLevel="0" collapsed="false">
      <c r="A158" s="11"/>
      <c r="B158" s="12"/>
      <c r="C158" s="13"/>
      <c r="D158" s="14" t="str">
        <f aca="false">IF(C158="","",IFERROR(VLOOKUP(C158,Equipo!$A$2:$B$4,2,FALSE()),""))</f>
        <v/>
      </c>
      <c r="E158" s="13"/>
      <c r="F158" s="13"/>
      <c r="G158" s="13"/>
      <c r="H158" s="13"/>
      <c r="I158" s="13"/>
    </row>
    <row r="159" customFormat="false" ht="15" hidden="false" customHeight="false" outlineLevel="0" collapsed="false">
      <c r="A159" s="11"/>
      <c r="B159" s="12"/>
      <c r="C159" s="13"/>
      <c r="D159" s="14" t="str">
        <f aca="false">IF(C159="","",IFERROR(VLOOKUP(C159,Equipo!$A$2:$B$4,2,FALSE()),""))</f>
        <v/>
      </c>
      <c r="E159" s="13"/>
      <c r="F159" s="13"/>
      <c r="G159" s="13"/>
      <c r="H159" s="13"/>
      <c r="I159" s="13"/>
    </row>
    <row r="160" customFormat="false" ht="15" hidden="false" customHeight="false" outlineLevel="0" collapsed="false">
      <c r="A160" s="11"/>
      <c r="B160" s="12"/>
      <c r="C160" s="13"/>
      <c r="D160" s="14" t="str">
        <f aca="false">IF(C160="","",IFERROR(VLOOKUP(C160,Equipo!$A$2:$B$4,2,FALSE()),""))</f>
        <v/>
      </c>
      <c r="E160" s="13"/>
      <c r="F160" s="13"/>
      <c r="G160" s="13"/>
      <c r="H160" s="13"/>
      <c r="I160" s="13"/>
    </row>
    <row r="161" customFormat="false" ht="15" hidden="false" customHeight="false" outlineLevel="0" collapsed="false">
      <c r="A161" s="11"/>
      <c r="B161" s="12"/>
      <c r="C161" s="13"/>
      <c r="D161" s="14" t="str">
        <f aca="false">IF(C161="","",IFERROR(VLOOKUP(C161,Equipo!$A$2:$B$4,2,FALSE()),""))</f>
        <v/>
      </c>
      <c r="E161" s="13"/>
      <c r="F161" s="13"/>
      <c r="G161" s="13"/>
      <c r="H161" s="13"/>
      <c r="I161" s="13"/>
    </row>
    <row r="162" customFormat="false" ht="15" hidden="false" customHeight="false" outlineLevel="0" collapsed="false">
      <c r="A162" s="11"/>
      <c r="B162" s="12"/>
      <c r="C162" s="13"/>
      <c r="D162" s="14" t="str">
        <f aca="false">IF(C162="","",IFERROR(VLOOKUP(C162,Equipo!$A$2:$B$4,2,FALSE()),""))</f>
        <v/>
      </c>
      <c r="E162" s="13"/>
      <c r="F162" s="13"/>
      <c r="G162" s="13"/>
      <c r="H162" s="13"/>
      <c r="I162" s="13"/>
    </row>
    <row r="163" customFormat="false" ht="15" hidden="false" customHeight="false" outlineLevel="0" collapsed="false">
      <c r="A163" s="11"/>
      <c r="B163" s="12"/>
      <c r="C163" s="13"/>
      <c r="D163" s="14" t="str">
        <f aca="false">IF(C163="","",IFERROR(VLOOKUP(C163,Equipo!$A$2:$B$4,2,FALSE()),""))</f>
        <v/>
      </c>
      <c r="E163" s="13"/>
      <c r="F163" s="13"/>
      <c r="G163" s="13"/>
      <c r="H163" s="13"/>
      <c r="I163" s="13"/>
    </row>
    <row r="164" customFormat="false" ht="15" hidden="false" customHeight="false" outlineLevel="0" collapsed="false">
      <c r="A164" s="11"/>
      <c r="B164" s="12"/>
      <c r="C164" s="13"/>
      <c r="D164" s="14" t="str">
        <f aca="false">IF(C164="","",IFERROR(VLOOKUP(C164,Equipo!$A$2:$B$4,2,FALSE()),""))</f>
        <v/>
      </c>
      <c r="E164" s="13"/>
      <c r="F164" s="13"/>
      <c r="G164" s="13"/>
      <c r="H164" s="13"/>
      <c r="I164" s="13"/>
    </row>
    <row r="165" customFormat="false" ht="15" hidden="false" customHeight="false" outlineLevel="0" collapsed="false">
      <c r="A165" s="11"/>
      <c r="B165" s="12"/>
      <c r="C165" s="13"/>
      <c r="D165" s="14" t="str">
        <f aca="false">IF(C165="","",IFERROR(VLOOKUP(C165,Equipo!$A$2:$B$4,2,FALSE()),""))</f>
        <v/>
      </c>
      <c r="E165" s="13"/>
      <c r="F165" s="13"/>
      <c r="G165" s="13"/>
      <c r="H165" s="13"/>
      <c r="I165" s="13"/>
    </row>
    <row r="166" customFormat="false" ht="15" hidden="false" customHeight="false" outlineLevel="0" collapsed="false">
      <c r="A166" s="11"/>
      <c r="B166" s="12"/>
      <c r="C166" s="13"/>
      <c r="D166" s="14" t="str">
        <f aca="false">IF(C166="","",IFERROR(VLOOKUP(C166,Equipo!$A$2:$B$4,2,FALSE()),""))</f>
        <v/>
      </c>
      <c r="E166" s="13"/>
      <c r="F166" s="13"/>
      <c r="G166" s="13"/>
      <c r="H166" s="13"/>
      <c r="I166" s="13"/>
    </row>
    <row r="167" customFormat="false" ht="15" hidden="false" customHeight="false" outlineLevel="0" collapsed="false">
      <c r="A167" s="11"/>
      <c r="B167" s="12"/>
      <c r="C167" s="13"/>
      <c r="D167" s="14" t="str">
        <f aca="false">IF(C167="","",IFERROR(VLOOKUP(C167,Equipo!$A$2:$B$4,2,FALSE()),""))</f>
        <v/>
      </c>
      <c r="E167" s="13"/>
      <c r="F167" s="13"/>
      <c r="G167" s="13"/>
      <c r="H167" s="13"/>
      <c r="I167" s="13"/>
    </row>
    <row r="168" customFormat="false" ht="15" hidden="false" customHeight="false" outlineLevel="0" collapsed="false">
      <c r="A168" s="11"/>
      <c r="B168" s="12"/>
      <c r="C168" s="13"/>
      <c r="D168" s="14" t="str">
        <f aca="false">IF(C168="","",IFERROR(VLOOKUP(C168,Equipo!$A$2:$B$4,2,FALSE()),""))</f>
        <v/>
      </c>
      <c r="E168" s="13"/>
      <c r="F168" s="13"/>
      <c r="G168" s="13"/>
      <c r="H168" s="13"/>
      <c r="I168" s="13"/>
    </row>
    <row r="169" customFormat="false" ht="15" hidden="false" customHeight="false" outlineLevel="0" collapsed="false">
      <c r="A169" s="11"/>
      <c r="B169" s="12"/>
      <c r="C169" s="13"/>
      <c r="D169" s="14" t="str">
        <f aca="false">IF(C169="","",IFERROR(VLOOKUP(C169,Equipo!$A$2:$B$4,2,FALSE()),""))</f>
        <v/>
      </c>
      <c r="E169" s="13"/>
      <c r="F169" s="13"/>
      <c r="G169" s="13"/>
      <c r="H169" s="13"/>
      <c r="I169" s="13"/>
    </row>
    <row r="170" customFormat="false" ht="15" hidden="false" customHeight="false" outlineLevel="0" collapsed="false">
      <c r="A170" s="11"/>
      <c r="B170" s="12"/>
      <c r="C170" s="13"/>
      <c r="D170" s="14" t="str">
        <f aca="false">IF(C170="","",IFERROR(VLOOKUP(C170,Equipo!$A$2:$B$4,2,FALSE()),""))</f>
        <v/>
      </c>
      <c r="E170" s="13"/>
      <c r="F170" s="13"/>
      <c r="G170" s="13"/>
      <c r="H170" s="13"/>
      <c r="I170" s="13"/>
    </row>
    <row r="171" customFormat="false" ht="15" hidden="false" customHeight="false" outlineLevel="0" collapsed="false">
      <c r="A171" s="11"/>
      <c r="B171" s="12"/>
      <c r="C171" s="13"/>
      <c r="D171" s="14" t="str">
        <f aca="false">IF(C171="","",IFERROR(VLOOKUP(C171,Equipo!$A$2:$B$4,2,FALSE()),""))</f>
        <v/>
      </c>
      <c r="E171" s="13"/>
      <c r="F171" s="13"/>
      <c r="G171" s="13"/>
      <c r="H171" s="13"/>
      <c r="I171" s="13"/>
    </row>
    <row r="172" customFormat="false" ht="15" hidden="false" customHeight="false" outlineLevel="0" collapsed="false">
      <c r="A172" s="11"/>
      <c r="B172" s="12"/>
      <c r="C172" s="13"/>
      <c r="D172" s="14" t="str">
        <f aca="false">IF(C172="","",IFERROR(VLOOKUP(C172,Equipo!$A$2:$B$4,2,FALSE()),""))</f>
        <v/>
      </c>
      <c r="E172" s="13"/>
      <c r="F172" s="13"/>
      <c r="G172" s="13"/>
      <c r="H172" s="13"/>
      <c r="I172" s="13"/>
    </row>
    <row r="173" customFormat="false" ht="15" hidden="false" customHeight="false" outlineLevel="0" collapsed="false">
      <c r="A173" s="11"/>
      <c r="B173" s="12"/>
      <c r="C173" s="13"/>
      <c r="D173" s="14" t="str">
        <f aca="false">IF(C173="","",IFERROR(VLOOKUP(C173,Equipo!$A$2:$B$4,2,FALSE()),""))</f>
        <v/>
      </c>
      <c r="E173" s="13"/>
      <c r="F173" s="13"/>
      <c r="G173" s="13"/>
      <c r="H173" s="13"/>
      <c r="I173" s="13"/>
    </row>
    <row r="174" customFormat="false" ht="15" hidden="false" customHeight="false" outlineLevel="0" collapsed="false">
      <c r="A174" s="11"/>
      <c r="B174" s="12"/>
      <c r="C174" s="13"/>
      <c r="D174" s="14" t="str">
        <f aca="false">IF(C174="","",IFERROR(VLOOKUP(C174,Equipo!$A$2:$B$4,2,FALSE()),""))</f>
        <v/>
      </c>
      <c r="E174" s="13"/>
      <c r="F174" s="13"/>
      <c r="G174" s="13"/>
      <c r="H174" s="13"/>
      <c r="I174" s="13"/>
    </row>
    <row r="175" customFormat="false" ht="15" hidden="false" customHeight="false" outlineLevel="0" collapsed="false">
      <c r="A175" s="11"/>
      <c r="B175" s="12"/>
      <c r="C175" s="13"/>
      <c r="D175" s="14" t="str">
        <f aca="false">IF(C175="","",IFERROR(VLOOKUP(C175,Equipo!$A$2:$B$4,2,FALSE()),""))</f>
        <v/>
      </c>
      <c r="E175" s="13"/>
      <c r="F175" s="13"/>
      <c r="G175" s="13"/>
      <c r="H175" s="13"/>
      <c r="I175" s="13"/>
    </row>
    <row r="176" customFormat="false" ht="15" hidden="false" customHeight="false" outlineLevel="0" collapsed="false">
      <c r="A176" s="11"/>
      <c r="B176" s="12"/>
      <c r="C176" s="13"/>
      <c r="D176" s="14" t="str">
        <f aca="false">IF(C176="","",IFERROR(VLOOKUP(C176,Equipo!$A$2:$B$4,2,FALSE()),""))</f>
        <v/>
      </c>
      <c r="E176" s="13"/>
      <c r="F176" s="13"/>
      <c r="G176" s="13"/>
      <c r="H176" s="13"/>
      <c r="I176" s="13"/>
    </row>
    <row r="177" customFormat="false" ht="15" hidden="false" customHeight="false" outlineLevel="0" collapsed="false">
      <c r="A177" s="11"/>
      <c r="B177" s="12"/>
      <c r="C177" s="13"/>
      <c r="D177" s="14" t="str">
        <f aca="false">IF(C177="","",IFERROR(VLOOKUP(C177,Equipo!$A$2:$B$4,2,FALSE()),""))</f>
        <v/>
      </c>
      <c r="E177" s="13"/>
      <c r="F177" s="13"/>
      <c r="G177" s="13"/>
      <c r="H177" s="13"/>
      <c r="I177" s="13"/>
    </row>
    <row r="178" customFormat="false" ht="15" hidden="false" customHeight="false" outlineLevel="0" collapsed="false">
      <c r="A178" s="11"/>
      <c r="B178" s="12"/>
      <c r="C178" s="13"/>
      <c r="D178" s="14" t="str">
        <f aca="false">IF(C178="","",IFERROR(VLOOKUP(C178,Equipo!$A$2:$B$4,2,FALSE()),""))</f>
        <v/>
      </c>
      <c r="E178" s="13"/>
      <c r="F178" s="13"/>
      <c r="G178" s="13"/>
      <c r="H178" s="13"/>
      <c r="I178" s="13"/>
    </row>
    <row r="179" customFormat="false" ht="15" hidden="false" customHeight="false" outlineLevel="0" collapsed="false">
      <c r="A179" s="11"/>
      <c r="B179" s="12"/>
      <c r="C179" s="13"/>
      <c r="D179" s="14" t="str">
        <f aca="false">IF(C179="","",IFERROR(VLOOKUP(C179,Equipo!$A$2:$B$4,2,FALSE()),""))</f>
        <v/>
      </c>
      <c r="E179" s="13"/>
      <c r="F179" s="13"/>
      <c r="G179" s="13"/>
      <c r="H179" s="13"/>
      <c r="I179" s="13"/>
    </row>
    <row r="180" customFormat="false" ht="15" hidden="false" customHeight="false" outlineLevel="0" collapsed="false">
      <c r="A180" s="11"/>
      <c r="B180" s="12"/>
      <c r="C180" s="13"/>
      <c r="D180" s="14" t="str">
        <f aca="false">IF(C180="","",IFERROR(VLOOKUP(C180,Equipo!$A$2:$B$4,2,FALSE()),""))</f>
        <v/>
      </c>
      <c r="E180" s="13"/>
      <c r="F180" s="13"/>
      <c r="G180" s="13"/>
      <c r="H180" s="13"/>
      <c r="I180" s="13"/>
    </row>
    <row r="181" customFormat="false" ht="15" hidden="false" customHeight="false" outlineLevel="0" collapsed="false">
      <c r="A181" s="11"/>
      <c r="B181" s="12"/>
      <c r="C181" s="13"/>
      <c r="D181" s="14" t="str">
        <f aca="false">IF(C181="","",IFERROR(VLOOKUP(C181,Equipo!$A$2:$B$4,2,FALSE()),""))</f>
        <v/>
      </c>
      <c r="E181" s="13"/>
      <c r="F181" s="13"/>
      <c r="G181" s="13"/>
      <c r="H181" s="13"/>
      <c r="I181" s="13"/>
    </row>
    <row r="182" customFormat="false" ht="15" hidden="false" customHeight="false" outlineLevel="0" collapsed="false">
      <c r="A182" s="11"/>
      <c r="B182" s="12"/>
      <c r="C182" s="13"/>
      <c r="D182" s="14" t="str">
        <f aca="false">IF(C182="","",IFERROR(VLOOKUP(C182,Equipo!$A$2:$B$4,2,FALSE()),""))</f>
        <v/>
      </c>
      <c r="E182" s="13"/>
      <c r="F182" s="13"/>
      <c r="G182" s="13"/>
      <c r="H182" s="13"/>
      <c r="I182" s="13"/>
    </row>
    <row r="183" customFormat="false" ht="15" hidden="false" customHeight="false" outlineLevel="0" collapsed="false">
      <c r="A183" s="11"/>
      <c r="B183" s="12"/>
      <c r="C183" s="13"/>
      <c r="D183" s="14" t="str">
        <f aca="false">IF(C183="","",IFERROR(VLOOKUP(C183,Equipo!$A$2:$B$4,2,FALSE()),""))</f>
        <v/>
      </c>
      <c r="E183" s="13"/>
      <c r="F183" s="13"/>
      <c r="G183" s="13"/>
      <c r="H183" s="13"/>
      <c r="I183" s="13"/>
    </row>
    <row r="184" customFormat="false" ht="15" hidden="false" customHeight="false" outlineLevel="0" collapsed="false">
      <c r="A184" s="11"/>
      <c r="B184" s="12"/>
      <c r="C184" s="13"/>
      <c r="D184" s="14" t="str">
        <f aca="false">IF(C184="","",IFERROR(VLOOKUP(C184,Equipo!$A$2:$B$4,2,FALSE()),""))</f>
        <v/>
      </c>
      <c r="E184" s="13"/>
      <c r="F184" s="13"/>
      <c r="G184" s="13"/>
      <c r="H184" s="13"/>
      <c r="I184" s="13"/>
    </row>
    <row r="185" customFormat="false" ht="15" hidden="false" customHeight="false" outlineLevel="0" collapsed="false">
      <c r="A185" s="11"/>
      <c r="B185" s="12"/>
      <c r="C185" s="13"/>
      <c r="D185" s="14" t="str">
        <f aca="false">IF(C185="","",IFERROR(VLOOKUP(C185,Equipo!$A$2:$B$4,2,FALSE()),""))</f>
        <v/>
      </c>
      <c r="E185" s="13"/>
      <c r="F185" s="13"/>
      <c r="G185" s="13"/>
      <c r="H185" s="13"/>
      <c r="I185" s="13"/>
    </row>
    <row r="186" customFormat="false" ht="15" hidden="false" customHeight="false" outlineLevel="0" collapsed="false">
      <c r="A186" s="11"/>
      <c r="B186" s="12"/>
      <c r="C186" s="13"/>
      <c r="D186" s="14" t="str">
        <f aca="false">IF(C186="","",IFERROR(VLOOKUP(C186,Equipo!$A$2:$B$4,2,FALSE()),""))</f>
        <v/>
      </c>
      <c r="E186" s="13"/>
      <c r="F186" s="13"/>
      <c r="G186" s="13"/>
      <c r="H186" s="13"/>
      <c r="I186" s="13"/>
    </row>
    <row r="187" customFormat="false" ht="15" hidden="false" customHeight="false" outlineLevel="0" collapsed="false">
      <c r="A187" s="11"/>
      <c r="B187" s="12"/>
      <c r="C187" s="13"/>
      <c r="D187" s="14" t="str">
        <f aca="false">IF(C187="","",IFERROR(VLOOKUP(C187,Equipo!$A$2:$B$4,2,FALSE()),""))</f>
        <v/>
      </c>
      <c r="E187" s="13"/>
      <c r="F187" s="13"/>
      <c r="G187" s="13"/>
      <c r="H187" s="13"/>
      <c r="I187" s="13"/>
    </row>
    <row r="188" customFormat="false" ht="15" hidden="false" customHeight="false" outlineLevel="0" collapsed="false">
      <c r="A188" s="11"/>
      <c r="B188" s="12"/>
      <c r="C188" s="13"/>
      <c r="D188" s="14" t="str">
        <f aca="false">IF(C188="","",IFERROR(VLOOKUP(C188,Equipo!$A$2:$B$4,2,FALSE()),""))</f>
        <v/>
      </c>
      <c r="E188" s="13"/>
      <c r="F188" s="13"/>
      <c r="G188" s="13"/>
      <c r="H188" s="13"/>
      <c r="I188" s="13"/>
    </row>
    <row r="189" customFormat="false" ht="15" hidden="false" customHeight="false" outlineLevel="0" collapsed="false">
      <c r="A189" s="11"/>
      <c r="B189" s="12"/>
      <c r="C189" s="13"/>
      <c r="D189" s="14" t="str">
        <f aca="false">IF(C189="","",IFERROR(VLOOKUP(C189,Equipo!$A$2:$B$4,2,FALSE()),""))</f>
        <v/>
      </c>
      <c r="E189" s="13"/>
      <c r="F189" s="13"/>
      <c r="G189" s="13"/>
      <c r="H189" s="13"/>
      <c r="I189" s="13"/>
    </row>
    <row r="190" customFormat="false" ht="15" hidden="false" customHeight="false" outlineLevel="0" collapsed="false">
      <c r="A190" s="11"/>
      <c r="B190" s="12"/>
      <c r="C190" s="13"/>
      <c r="D190" s="14" t="str">
        <f aca="false">IF(C190="","",IFERROR(VLOOKUP(C190,Equipo!$A$2:$B$4,2,FALSE()),""))</f>
        <v/>
      </c>
      <c r="E190" s="13"/>
      <c r="F190" s="13"/>
      <c r="G190" s="13"/>
      <c r="H190" s="13"/>
      <c r="I190" s="13"/>
    </row>
    <row r="191" customFormat="false" ht="15" hidden="false" customHeight="false" outlineLevel="0" collapsed="false">
      <c r="A191" s="11"/>
      <c r="B191" s="12"/>
      <c r="C191" s="13"/>
      <c r="D191" s="14" t="str">
        <f aca="false">IF(C191="","",IFERROR(VLOOKUP(C191,Equipo!$A$2:$B$4,2,FALSE()),""))</f>
        <v/>
      </c>
      <c r="E191" s="13"/>
      <c r="F191" s="13"/>
      <c r="G191" s="13"/>
      <c r="H191" s="13"/>
      <c r="I191" s="13"/>
    </row>
    <row r="192" customFormat="false" ht="15" hidden="false" customHeight="false" outlineLevel="0" collapsed="false">
      <c r="A192" s="11"/>
      <c r="B192" s="12"/>
      <c r="C192" s="13"/>
      <c r="D192" s="14" t="str">
        <f aca="false">IF(C192="","",IFERROR(VLOOKUP(C192,Equipo!$A$2:$B$4,2,FALSE()),""))</f>
        <v/>
      </c>
      <c r="E192" s="13"/>
      <c r="F192" s="13"/>
      <c r="G192" s="13"/>
      <c r="H192" s="13"/>
      <c r="I192" s="13"/>
    </row>
    <row r="193" customFormat="false" ht="15" hidden="false" customHeight="false" outlineLevel="0" collapsed="false">
      <c r="A193" s="11"/>
      <c r="B193" s="12"/>
      <c r="C193" s="13"/>
      <c r="D193" s="14" t="str">
        <f aca="false">IF(C193="","",IFERROR(VLOOKUP(C193,Equipo!$A$2:$B$4,2,FALSE()),""))</f>
        <v/>
      </c>
      <c r="E193" s="13"/>
      <c r="F193" s="13"/>
      <c r="G193" s="13"/>
      <c r="H193" s="13"/>
      <c r="I193" s="13"/>
    </row>
    <row r="194" customFormat="false" ht="15" hidden="false" customHeight="false" outlineLevel="0" collapsed="false">
      <c r="A194" s="11"/>
      <c r="B194" s="12"/>
      <c r="C194" s="13"/>
      <c r="D194" s="14" t="str">
        <f aca="false">IF(C194="","",IFERROR(VLOOKUP(C194,Equipo!$A$2:$B$4,2,FALSE()),""))</f>
        <v/>
      </c>
      <c r="E194" s="13"/>
      <c r="F194" s="13"/>
      <c r="G194" s="13"/>
      <c r="H194" s="13"/>
      <c r="I194" s="13"/>
    </row>
    <row r="195" customFormat="false" ht="15" hidden="false" customHeight="false" outlineLevel="0" collapsed="false">
      <c r="A195" s="11"/>
      <c r="B195" s="12"/>
      <c r="C195" s="13"/>
      <c r="D195" s="14" t="str">
        <f aca="false">IF(C195="","",IFERROR(VLOOKUP(C195,Equipo!$A$2:$B$4,2,FALSE()),""))</f>
        <v/>
      </c>
      <c r="E195" s="13"/>
      <c r="F195" s="13"/>
      <c r="G195" s="13"/>
      <c r="H195" s="13"/>
      <c r="I195" s="13"/>
    </row>
    <row r="196" customFormat="false" ht="15" hidden="false" customHeight="false" outlineLevel="0" collapsed="false">
      <c r="A196" s="11"/>
      <c r="B196" s="12"/>
      <c r="C196" s="13"/>
      <c r="D196" s="14" t="str">
        <f aca="false">IF(C196="","",IFERROR(VLOOKUP(C196,Equipo!$A$2:$B$4,2,FALSE()),""))</f>
        <v/>
      </c>
      <c r="E196" s="13"/>
      <c r="F196" s="13"/>
      <c r="G196" s="13"/>
      <c r="H196" s="13"/>
      <c r="I196" s="13"/>
    </row>
    <row r="197" customFormat="false" ht="15" hidden="false" customHeight="false" outlineLevel="0" collapsed="false">
      <c r="A197" s="11"/>
      <c r="B197" s="12"/>
      <c r="C197" s="13"/>
      <c r="D197" s="14" t="str">
        <f aca="false">IF(C197="","",IFERROR(VLOOKUP(C197,Equipo!$A$2:$B$4,2,FALSE()),""))</f>
        <v/>
      </c>
      <c r="E197" s="13"/>
      <c r="F197" s="13"/>
      <c r="G197" s="13"/>
      <c r="H197" s="13"/>
      <c r="I197" s="13"/>
    </row>
    <row r="198" customFormat="false" ht="15" hidden="false" customHeight="false" outlineLevel="0" collapsed="false">
      <c r="A198" s="11"/>
      <c r="B198" s="12"/>
      <c r="C198" s="13"/>
      <c r="D198" s="14" t="str">
        <f aca="false">IF(C198="","",IFERROR(VLOOKUP(C198,Equipo!$A$2:$B$4,2,FALSE()),""))</f>
        <v/>
      </c>
      <c r="E198" s="13"/>
      <c r="F198" s="13"/>
      <c r="G198" s="13"/>
      <c r="H198" s="13"/>
      <c r="I198" s="13"/>
    </row>
    <row r="199" customFormat="false" ht="15" hidden="false" customHeight="false" outlineLevel="0" collapsed="false">
      <c r="A199" s="11"/>
      <c r="B199" s="12"/>
      <c r="C199" s="13"/>
      <c r="D199" s="14" t="str">
        <f aca="false">IF(C199="","",IFERROR(VLOOKUP(C199,Equipo!$A$2:$B$4,2,FALSE()),""))</f>
        <v/>
      </c>
      <c r="E199" s="13"/>
      <c r="F199" s="13"/>
      <c r="G199" s="13"/>
      <c r="H199" s="13"/>
      <c r="I199" s="13"/>
    </row>
    <row r="200" customFormat="false" ht="15" hidden="false" customHeight="false" outlineLevel="0" collapsed="false">
      <c r="A200" s="11"/>
      <c r="B200" s="12"/>
      <c r="C200" s="13"/>
      <c r="D200" s="14" t="str">
        <f aca="false">IF(C200="","",IFERROR(VLOOKUP(C200,Equipo!$A$2:$B$4,2,FALSE()),""))</f>
        <v/>
      </c>
      <c r="E200" s="13"/>
      <c r="F200" s="13"/>
      <c r="G200" s="13"/>
      <c r="H200" s="13"/>
      <c r="I200" s="13"/>
    </row>
    <row r="201" customFormat="false" ht="15" hidden="false" customHeight="false" outlineLevel="0" collapsed="false">
      <c r="A201" s="11"/>
      <c r="B201" s="12"/>
      <c r="C201" s="13"/>
      <c r="D201" s="14" t="str">
        <f aca="false">IF(C201="","",IFERROR(VLOOKUP(C201,Equipo!$A$2:$B$4,2,FALSE()),""))</f>
        <v/>
      </c>
      <c r="E201" s="13"/>
      <c r="F201" s="13"/>
      <c r="G201" s="13"/>
      <c r="H201" s="13"/>
      <c r="I201" s="13"/>
    </row>
    <row r="202" customFormat="false" ht="15" hidden="false" customHeight="false" outlineLevel="0" collapsed="false">
      <c r="A202" s="11"/>
      <c r="B202" s="12"/>
      <c r="C202" s="13"/>
      <c r="D202" s="14" t="str">
        <f aca="false">IF(C202="","",IFERROR(VLOOKUP(C202,Equipo!$A$2:$B$4,2,FALSE()),""))</f>
        <v/>
      </c>
      <c r="E202" s="13"/>
      <c r="F202" s="13"/>
      <c r="G202" s="13"/>
      <c r="H202" s="13"/>
      <c r="I202" s="13"/>
    </row>
    <row r="203" customFormat="false" ht="15" hidden="false" customHeight="false" outlineLevel="0" collapsed="false">
      <c r="A203" s="11"/>
      <c r="B203" s="12"/>
      <c r="C203" s="13"/>
      <c r="D203" s="14" t="str">
        <f aca="false">IF(C203="","",IFERROR(VLOOKUP(C203,Equipo!$A$2:$B$4,2,FALSE()),""))</f>
        <v/>
      </c>
      <c r="E203" s="13"/>
      <c r="F203" s="13"/>
      <c r="G203" s="13"/>
      <c r="H203" s="13"/>
      <c r="I203" s="13"/>
    </row>
    <row r="204" customFormat="false" ht="15" hidden="false" customHeight="false" outlineLevel="0" collapsed="false">
      <c r="A204" s="11"/>
      <c r="B204" s="12"/>
      <c r="C204" s="13"/>
      <c r="D204" s="14" t="str">
        <f aca="false">IF(C204="","",IFERROR(VLOOKUP(C204,Equipo!$A$2:$B$4,2,FALSE()),""))</f>
        <v/>
      </c>
      <c r="E204" s="13"/>
      <c r="F204" s="13"/>
      <c r="G204" s="13"/>
      <c r="H204" s="13"/>
      <c r="I204" s="13"/>
    </row>
    <row r="205" customFormat="false" ht="15" hidden="false" customHeight="false" outlineLevel="0" collapsed="false">
      <c r="A205" s="11"/>
      <c r="B205" s="12"/>
      <c r="C205" s="13"/>
      <c r="D205" s="14" t="str">
        <f aca="false">IF(C205="","",IFERROR(VLOOKUP(C205,Equipo!$A$2:$B$4,2,FALSE()),""))</f>
        <v/>
      </c>
      <c r="E205" s="13"/>
      <c r="F205" s="13"/>
      <c r="G205" s="13"/>
      <c r="H205" s="13"/>
      <c r="I205" s="13"/>
    </row>
    <row r="206" customFormat="false" ht="15" hidden="false" customHeight="false" outlineLevel="0" collapsed="false">
      <c r="A206" s="11"/>
      <c r="B206" s="12"/>
      <c r="C206" s="13"/>
      <c r="D206" s="14" t="str">
        <f aca="false">IF(C206="","",IFERROR(VLOOKUP(C206,Equipo!$A$2:$B$4,2,FALSE()),""))</f>
        <v/>
      </c>
      <c r="E206" s="13"/>
      <c r="F206" s="13"/>
      <c r="G206" s="13"/>
      <c r="H206" s="13"/>
      <c r="I206" s="13"/>
    </row>
    <row r="207" customFormat="false" ht="15" hidden="false" customHeight="false" outlineLevel="0" collapsed="false">
      <c r="A207" s="11"/>
      <c r="B207" s="12"/>
      <c r="C207" s="13"/>
      <c r="D207" s="14" t="str">
        <f aca="false">IF(C207="","",IFERROR(VLOOKUP(C207,Equipo!$A$2:$B$4,2,FALSE()),""))</f>
        <v/>
      </c>
      <c r="E207" s="13"/>
      <c r="F207" s="13"/>
      <c r="G207" s="13"/>
      <c r="H207" s="13"/>
      <c r="I207" s="13"/>
    </row>
    <row r="208" customFormat="false" ht="15" hidden="false" customHeight="false" outlineLevel="0" collapsed="false">
      <c r="A208" s="11"/>
      <c r="B208" s="12"/>
      <c r="C208" s="13"/>
      <c r="D208" s="14" t="str">
        <f aca="false">IF(C208="","",IFERROR(VLOOKUP(C208,Equipo!$A$2:$B$4,2,FALSE()),""))</f>
        <v/>
      </c>
      <c r="E208" s="13"/>
      <c r="F208" s="13"/>
      <c r="G208" s="13"/>
      <c r="H208" s="13"/>
      <c r="I208" s="13"/>
    </row>
    <row r="209" customFormat="false" ht="15" hidden="false" customHeight="false" outlineLevel="0" collapsed="false">
      <c r="A209" s="11"/>
      <c r="B209" s="12"/>
      <c r="C209" s="13"/>
      <c r="D209" s="14" t="str">
        <f aca="false">IF(C209="","",IFERROR(VLOOKUP(C209,Equipo!$A$2:$B$4,2,FALSE()),""))</f>
        <v/>
      </c>
      <c r="E209" s="13"/>
      <c r="F209" s="13"/>
      <c r="G209" s="13"/>
      <c r="H209" s="13"/>
      <c r="I209" s="13"/>
    </row>
    <row r="210" customFormat="false" ht="15" hidden="false" customHeight="false" outlineLevel="0" collapsed="false">
      <c r="A210" s="11"/>
      <c r="B210" s="12"/>
      <c r="C210" s="13"/>
      <c r="D210" s="14" t="str">
        <f aca="false">IF(C210="","",IFERROR(VLOOKUP(C210,Equipo!$A$2:$B$4,2,FALSE()),""))</f>
        <v/>
      </c>
      <c r="E210" s="13"/>
      <c r="F210" s="13"/>
      <c r="G210" s="13"/>
      <c r="H210" s="13"/>
      <c r="I210" s="13"/>
    </row>
    <row r="211" customFormat="false" ht="15" hidden="false" customHeight="false" outlineLevel="0" collapsed="false">
      <c r="A211" s="11"/>
      <c r="B211" s="12"/>
      <c r="C211" s="13"/>
      <c r="D211" s="14" t="str">
        <f aca="false">IF(C211="","",IFERROR(VLOOKUP(C211,Equipo!$A$2:$B$4,2,FALSE()),""))</f>
        <v/>
      </c>
      <c r="E211" s="13"/>
      <c r="F211" s="13"/>
      <c r="G211" s="13"/>
      <c r="H211" s="13"/>
      <c r="I211" s="13"/>
    </row>
    <row r="212" customFormat="false" ht="15" hidden="false" customHeight="false" outlineLevel="0" collapsed="false">
      <c r="A212" s="11"/>
      <c r="B212" s="12"/>
      <c r="C212" s="13"/>
      <c r="D212" s="14" t="str">
        <f aca="false">IF(C212="","",IFERROR(VLOOKUP(C212,Equipo!$A$2:$B$4,2,FALSE()),""))</f>
        <v/>
      </c>
      <c r="E212" s="13"/>
      <c r="F212" s="13"/>
      <c r="G212" s="13"/>
      <c r="H212" s="13"/>
      <c r="I212" s="13"/>
    </row>
    <row r="213" customFormat="false" ht="15" hidden="false" customHeight="false" outlineLevel="0" collapsed="false">
      <c r="A213" s="11"/>
      <c r="B213" s="12"/>
      <c r="C213" s="13"/>
      <c r="D213" s="14" t="str">
        <f aca="false">IF(C213="","",IFERROR(VLOOKUP(C213,Equipo!$A$2:$B$4,2,FALSE()),""))</f>
        <v/>
      </c>
      <c r="E213" s="13"/>
      <c r="F213" s="13"/>
      <c r="G213" s="13"/>
      <c r="H213" s="13"/>
      <c r="I213" s="13"/>
    </row>
    <row r="214" customFormat="false" ht="15" hidden="false" customHeight="false" outlineLevel="0" collapsed="false">
      <c r="A214" s="11"/>
      <c r="B214" s="12"/>
      <c r="C214" s="13"/>
      <c r="D214" s="14" t="str">
        <f aca="false">IF(C214="","",IFERROR(VLOOKUP(C214,Equipo!$A$2:$B$4,2,FALSE()),""))</f>
        <v/>
      </c>
      <c r="E214" s="13"/>
      <c r="F214" s="13"/>
      <c r="G214" s="13"/>
      <c r="H214" s="13"/>
      <c r="I214" s="13"/>
    </row>
    <row r="215" customFormat="false" ht="15" hidden="false" customHeight="false" outlineLevel="0" collapsed="false">
      <c r="A215" s="11"/>
      <c r="B215" s="12"/>
      <c r="C215" s="13"/>
      <c r="D215" s="14" t="str">
        <f aca="false">IF(C215="","",IFERROR(VLOOKUP(C215,Equipo!$A$2:$B$4,2,FALSE()),""))</f>
        <v/>
      </c>
      <c r="E215" s="13"/>
      <c r="F215" s="13"/>
      <c r="G215" s="13"/>
      <c r="H215" s="13"/>
      <c r="I215" s="13"/>
    </row>
    <row r="216" customFormat="false" ht="15" hidden="false" customHeight="false" outlineLevel="0" collapsed="false">
      <c r="A216" s="11"/>
      <c r="B216" s="12"/>
      <c r="C216" s="13"/>
      <c r="D216" s="14" t="str">
        <f aca="false">IF(C216="","",IFERROR(VLOOKUP(C216,Equipo!$A$2:$B$4,2,FALSE()),""))</f>
        <v/>
      </c>
      <c r="E216" s="13"/>
      <c r="F216" s="13"/>
      <c r="G216" s="13"/>
      <c r="H216" s="13"/>
      <c r="I216" s="13"/>
    </row>
    <row r="217" customFormat="false" ht="15" hidden="false" customHeight="false" outlineLevel="0" collapsed="false">
      <c r="A217" s="11"/>
      <c r="B217" s="12"/>
      <c r="C217" s="13"/>
      <c r="D217" s="14" t="str">
        <f aca="false">IF(C217="","",IFERROR(VLOOKUP(C217,Equipo!$A$2:$B$4,2,FALSE()),""))</f>
        <v/>
      </c>
      <c r="E217" s="13"/>
      <c r="F217" s="13"/>
      <c r="G217" s="13"/>
      <c r="H217" s="13"/>
      <c r="I217" s="13"/>
    </row>
    <row r="218" customFormat="false" ht="15" hidden="false" customHeight="false" outlineLevel="0" collapsed="false">
      <c r="A218" s="11"/>
      <c r="B218" s="12"/>
      <c r="C218" s="13"/>
      <c r="D218" s="14" t="str">
        <f aca="false">IF(C218="","",IFERROR(VLOOKUP(C218,Equipo!$A$2:$B$4,2,FALSE()),""))</f>
        <v/>
      </c>
      <c r="E218" s="13"/>
      <c r="F218" s="13"/>
      <c r="G218" s="13"/>
      <c r="H218" s="13"/>
      <c r="I218" s="13"/>
    </row>
    <row r="219" customFormat="false" ht="15" hidden="false" customHeight="false" outlineLevel="0" collapsed="false">
      <c r="A219" s="11"/>
      <c r="B219" s="12"/>
      <c r="C219" s="13"/>
      <c r="D219" s="14" t="str">
        <f aca="false">IF(C219="","",IFERROR(VLOOKUP(C219,Equipo!$A$2:$B$4,2,FALSE()),""))</f>
        <v/>
      </c>
      <c r="E219" s="13"/>
      <c r="F219" s="13"/>
      <c r="G219" s="13"/>
      <c r="H219" s="13"/>
      <c r="I219" s="13"/>
    </row>
    <row r="220" customFormat="false" ht="15" hidden="false" customHeight="false" outlineLevel="0" collapsed="false">
      <c r="A220" s="11"/>
      <c r="B220" s="12"/>
      <c r="C220" s="13"/>
      <c r="D220" s="14" t="str">
        <f aca="false">IF(C220="","",IFERROR(VLOOKUP(C220,Equipo!$A$2:$B$4,2,FALSE()),""))</f>
        <v/>
      </c>
      <c r="E220" s="13"/>
      <c r="F220" s="13"/>
      <c r="G220" s="13"/>
      <c r="H220" s="13"/>
      <c r="I220" s="13"/>
    </row>
    <row r="221" customFormat="false" ht="15" hidden="false" customHeight="false" outlineLevel="0" collapsed="false">
      <c r="A221" s="11"/>
      <c r="B221" s="12"/>
      <c r="C221" s="13"/>
      <c r="D221" s="14" t="str">
        <f aca="false">IF(C221="","",IFERROR(VLOOKUP(C221,Equipo!$A$2:$B$4,2,FALSE()),""))</f>
        <v/>
      </c>
      <c r="E221" s="13"/>
      <c r="F221" s="13"/>
      <c r="G221" s="13"/>
      <c r="H221" s="13"/>
      <c r="I221" s="13"/>
    </row>
    <row r="222" customFormat="false" ht="15" hidden="false" customHeight="false" outlineLevel="0" collapsed="false">
      <c r="A222" s="11"/>
      <c r="B222" s="12"/>
      <c r="C222" s="13"/>
      <c r="D222" s="14" t="str">
        <f aca="false">IF(C222="","",IFERROR(VLOOKUP(C222,Equipo!$A$2:$B$4,2,FALSE()),""))</f>
        <v/>
      </c>
      <c r="E222" s="13"/>
      <c r="F222" s="13"/>
      <c r="G222" s="13"/>
      <c r="H222" s="13"/>
      <c r="I222" s="13"/>
    </row>
    <row r="223" customFormat="false" ht="15" hidden="false" customHeight="false" outlineLevel="0" collapsed="false">
      <c r="A223" s="11"/>
      <c r="B223" s="12"/>
      <c r="C223" s="13"/>
      <c r="D223" s="14" t="str">
        <f aca="false">IF(C223="","",IFERROR(VLOOKUP(C223,Equipo!$A$2:$B$4,2,FALSE()),""))</f>
        <v/>
      </c>
      <c r="E223" s="13"/>
      <c r="F223" s="13"/>
      <c r="G223" s="13"/>
      <c r="H223" s="13"/>
      <c r="I223" s="13"/>
    </row>
    <row r="224" customFormat="false" ht="15" hidden="false" customHeight="false" outlineLevel="0" collapsed="false">
      <c r="A224" s="11"/>
      <c r="B224" s="12"/>
      <c r="C224" s="13"/>
      <c r="D224" s="14" t="str">
        <f aca="false">IF(C224="","",IFERROR(VLOOKUP(C224,Equipo!$A$2:$B$4,2,FALSE()),""))</f>
        <v/>
      </c>
      <c r="E224" s="13"/>
      <c r="F224" s="13"/>
      <c r="G224" s="13"/>
      <c r="H224" s="13"/>
      <c r="I224" s="13"/>
    </row>
    <row r="225" customFormat="false" ht="15" hidden="false" customHeight="false" outlineLevel="0" collapsed="false">
      <c r="A225" s="11"/>
      <c r="B225" s="12"/>
      <c r="C225" s="13"/>
      <c r="D225" s="14" t="str">
        <f aca="false">IF(C225="","",IFERROR(VLOOKUP(C225,Equipo!$A$2:$B$4,2,FALSE()),""))</f>
        <v/>
      </c>
      <c r="E225" s="13"/>
      <c r="F225" s="13"/>
      <c r="G225" s="13"/>
      <c r="H225" s="13"/>
      <c r="I225" s="13"/>
    </row>
    <row r="226" customFormat="false" ht="15" hidden="false" customHeight="false" outlineLevel="0" collapsed="false">
      <c r="A226" s="11"/>
      <c r="B226" s="12"/>
      <c r="C226" s="13"/>
      <c r="D226" s="14" t="str">
        <f aca="false">IF(C226="","",IFERROR(VLOOKUP(C226,Equipo!$A$2:$B$4,2,FALSE()),""))</f>
        <v/>
      </c>
      <c r="E226" s="13"/>
      <c r="F226" s="13"/>
      <c r="G226" s="13"/>
      <c r="H226" s="13"/>
      <c r="I226" s="13"/>
    </row>
    <row r="227" customFormat="false" ht="15" hidden="false" customHeight="false" outlineLevel="0" collapsed="false">
      <c r="A227" s="11"/>
      <c r="B227" s="12"/>
      <c r="C227" s="13"/>
      <c r="D227" s="14" t="str">
        <f aca="false">IF(C227="","",IFERROR(VLOOKUP(C227,Equipo!$A$2:$B$4,2,FALSE()),""))</f>
        <v/>
      </c>
      <c r="E227" s="13"/>
      <c r="F227" s="13"/>
      <c r="G227" s="13"/>
      <c r="H227" s="13"/>
      <c r="I227" s="13"/>
    </row>
    <row r="228" customFormat="false" ht="15" hidden="false" customHeight="false" outlineLevel="0" collapsed="false">
      <c r="A228" s="11"/>
      <c r="B228" s="12"/>
      <c r="C228" s="13"/>
      <c r="D228" s="14" t="str">
        <f aca="false">IF(C228="","",IFERROR(VLOOKUP(C228,Equipo!$A$2:$B$4,2,FALSE()),""))</f>
        <v/>
      </c>
      <c r="E228" s="13"/>
      <c r="F228" s="13"/>
      <c r="G228" s="13"/>
      <c r="H228" s="13"/>
      <c r="I228" s="13"/>
    </row>
    <row r="229" customFormat="false" ht="15" hidden="false" customHeight="false" outlineLevel="0" collapsed="false">
      <c r="A229" s="11"/>
      <c r="B229" s="12"/>
      <c r="C229" s="13"/>
      <c r="D229" s="14" t="str">
        <f aca="false">IF(C229="","",IFERROR(VLOOKUP(C229,Equipo!$A$2:$B$4,2,FALSE()),""))</f>
        <v/>
      </c>
      <c r="E229" s="13"/>
      <c r="F229" s="13"/>
      <c r="G229" s="13"/>
      <c r="H229" s="13"/>
      <c r="I229" s="13"/>
    </row>
    <row r="230" customFormat="false" ht="15" hidden="false" customHeight="false" outlineLevel="0" collapsed="false">
      <c r="A230" s="11"/>
      <c r="B230" s="12"/>
      <c r="C230" s="13"/>
      <c r="D230" s="14" t="str">
        <f aca="false">IF(C230="","",IFERROR(VLOOKUP(C230,Equipo!$A$2:$B$4,2,FALSE()),""))</f>
        <v/>
      </c>
      <c r="E230" s="13"/>
      <c r="F230" s="13"/>
      <c r="G230" s="13"/>
      <c r="H230" s="13"/>
      <c r="I230" s="13"/>
    </row>
    <row r="231" customFormat="false" ht="15" hidden="false" customHeight="false" outlineLevel="0" collapsed="false">
      <c r="A231" s="11"/>
      <c r="B231" s="12"/>
      <c r="C231" s="13"/>
      <c r="D231" s="14" t="str">
        <f aca="false">IF(C231="","",IFERROR(VLOOKUP(C231,Equipo!$A$2:$B$4,2,FALSE()),""))</f>
        <v/>
      </c>
      <c r="E231" s="13"/>
      <c r="F231" s="13"/>
      <c r="G231" s="13"/>
      <c r="H231" s="13"/>
      <c r="I231" s="13"/>
    </row>
    <row r="232" customFormat="false" ht="15" hidden="false" customHeight="false" outlineLevel="0" collapsed="false">
      <c r="A232" s="11"/>
      <c r="B232" s="12"/>
      <c r="C232" s="13"/>
      <c r="D232" s="14" t="str">
        <f aca="false">IF(C232="","",IFERROR(VLOOKUP(C232,Equipo!$A$2:$B$4,2,FALSE()),""))</f>
        <v/>
      </c>
      <c r="E232" s="13"/>
      <c r="F232" s="13"/>
      <c r="G232" s="13"/>
      <c r="H232" s="13"/>
      <c r="I232" s="13"/>
    </row>
    <row r="233" customFormat="false" ht="15" hidden="false" customHeight="false" outlineLevel="0" collapsed="false">
      <c r="A233" s="11"/>
      <c r="B233" s="12"/>
      <c r="C233" s="13"/>
      <c r="D233" s="14" t="str">
        <f aca="false">IF(C233="","",IFERROR(VLOOKUP(C233,Equipo!$A$2:$B$4,2,FALSE()),""))</f>
        <v/>
      </c>
      <c r="E233" s="13"/>
      <c r="F233" s="13"/>
      <c r="G233" s="13"/>
      <c r="H233" s="13"/>
      <c r="I233" s="13"/>
    </row>
    <row r="234" customFormat="false" ht="15" hidden="false" customHeight="false" outlineLevel="0" collapsed="false">
      <c r="A234" s="11"/>
      <c r="B234" s="12"/>
      <c r="C234" s="13"/>
      <c r="D234" s="14" t="str">
        <f aca="false">IF(C234="","",IFERROR(VLOOKUP(C234,Equipo!$A$2:$B$4,2,FALSE()),""))</f>
        <v/>
      </c>
      <c r="E234" s="13"/>
      <c r="F234" s="13"/>
      <c r="G234" s="13"/>
      <c r="H234" s="13"/>
      <c r="I234" s="13"/>
    </row>
    <row r="235" customFormat="false" ht="15" hidden="false" customHeight="false" outlineLevel="0" collapsed="false">
      <c r="A235" s="11"/>
      <c r="B235" s="12"/>
      <c r="C235" s="13"/>
      <c r="D235" s="14" t="str">
        <f aca="false">IF(C235="","",IFERROR(VLOOKUP(C235,Equipo!$A$2:$B$4,2,FALSE()),""))</f>
        <v/>
      </c>
      <c r="E235" s="13"/>
      <c r="F235" s="13"/>
      <c r="G235" s="13"/>
      <c r="H235" s="13"/>
      <c r="I235" s="13"/>
    </row>
    <row r="236" customFormat="false" ht="15" hidden="false" customHeight="false" outlineLevel="0" collapsed="false">
      <c r="A236" s="11"/>
      <c r="B236" s="12"/>
      <c r="C236" s="13"/>
      <c r="D236" s="14" t="str">
        <f aca="false">IF(C236="","",IFERROR(VLOOKUP(C236,Equipo!$A$2:$B$4,2,FALSE()),""))</f>
        <v/>
      </c>
      <c r="E236" s="13"/>
      <c r="F236" s="13"/>
      <c r="G236" s="13"/>
      <c r="H236" s="13"/>
      <c r="I236" s="13"/>
    </row>
    <row r="237" customFormat="false" ht="15" hidden="false" customHeight="false" outlineLevel="0" collapsed="false">
      <c r="A237" s="11"/>
      <c r="B237" s="12"/>
      <c r="C237" s="13"/>
      <c r="D237" s="14" t="str">
        <f aca="false">IF(C237="","",IFERROR(VLOOKUP(C237,Equipo!$A$2:$B$4,2,FALSE()),""))</f>
        <v/>
      </c>
      <c r="E237" s="13"/>
      <c r="F237" s="13"/>
      <c r="G237" s="13"/>
      <c r="H237" s="13"/>
      <c r="I237" s="13"/>
    </row>
    <row r="238" customFormat="false" ht="15" hidden="false" customHeight="false" outlineLevel="0" collapsed="false">
      <c r="A238" s="11"/>
      <c r="B238" s="12"/>
      <c r="C238" s="13"/>
      <c r="D238" s="14" t="str">
        <f aca="false">IF(C238="","",IFERROR(VLOOKUP(C238,Equipo!$A$2:$B$4,2,FALSE()),""))</f>
        <v/>
      </c>
      <c r="E238" s="13"/>
      <c r="F238" s="13"/>
      <c r="G238" s="13"/>
      <c r="H238" s="13"/>
      <c r="I238" s="13"/>
    </row>
    <row r="239" customFormat="false" ht="15" hidden="false" customHeight="false" outlineLevel="0" collapsed="false">
      <c r="A239" s="11"/>
      <c r="B239" s="12"/>
      <c r="C239" s="13"/>
      <c r="D239" s="14" t="str">
        <f aca="false">IF(C239="","",IFERROR(VLOOKUP(C239,Equipo!$A$2:$B$4,2,FALSE()),""))</f>
        <v/>
      </c>
      <c r="E239" s="13"/>
      <c r="F239" s="13"/>
      <c r="G239" s="13"/>
      <c r="H239" s="13"/>
      <c r="I239" s="13"/>
    </row>
    <row r="240" customFormat="false" ht="15" hidden="false" customHeight="false" outlineLevel="0" collapsed="false">
      <c r="A240" s="11"/>
      <c r="B240" s="12"/>
      <c r="C240" s="13"/>
      <c r="D240" s="14" t="str">
        <f aca="false">IF(C240="","",IFERROR(VLOOKUP(C240,Equipo!$A$2:$B$4,2,FALSE()),""))</f>
        <v/>
      </c>
      <c r="E240" s="13"/>
      <c r="F240" s="13"/>
      <c r="G240" s="13"/>
      <c r="H240" s="13"/>
      <c r="I240" s="13"/>
    </row>
    <row r="241" customFormat="false" ht="15" hidden="false" customHeight="false" outlineLevel="0" collapsed="false">
      <c r="A241" s="11"/>
      <c r="B241" s="12"/>
      <c r="C241" s="13"/>
      <c r="D241" s="14" t="str">
        <f aca="false">IF(C241="","",IFERROR(VLOOKUP(C241,Equipo!$A$2:$B$4,2,FALSE()),""))</f>
        <v/>
      </c>
      <c r="E241" s="13"/>
      <c r="F241" s="13"/>
      <c r="G241" s="13"/>
      <c r="H241" s="13"/>
      <c r="I241" s="13"/>
    </row>
    <row r="242" customFormat="false" ht="15" hidden="false" customHeight="false" outlineLevel="0" collapsed="false">
      <c r="A242" s="11"/>
      <c r="B242" s="12"/>
      <c r="C242" s="13"/>
      <c r="D242" s="14" t="str">
        <f aca="false">IF(C242="","",IFERROR(VLOOKUP(C242,Equipo!$A$2:$B$4,2,FALSE()),""))</f>
        <v/>
      </c>
      <c r="E242" s="13"/>
      <c r="F242" s="13"/>
      <c r="G242" s="13"/>
      <c r="H242" s="13"/>
      <c r="I242" s="13"/>
    </row>
    <row r="243" customFormat="false" ht="15" hidden="false" customHeight="false" outlineLevel="0" collapsed="false">
      <c r="A243" s="11"/>
      <c r="B243" s="12"/>
      <c r="C243" s="13"/>
      <c r="D243" s="14" t="str">
        <f aca="false">IF(C243="","",IFERROR(VLOOKUP(C243,Equipo!$A$2:$B$4,2,FALSE()),""))</f>
        <v/>
      </c>
      <c r="E243" s="13"/>
      <c r="F243" s="13"/>
      <c r="G243" s="13"/>
      <c r="H243" s="13"/>
      <c r="I243" s="13"/>
    </row>
    <row r="244" customFormat="false" ht="15" hidden="false" customHeight="false" outlineLevel="0" collapsed="false">
      <c r="A244" s="11"/>
      <c r="B244" s="12"/>
      <c r="C244" s="13"/>
      <c r="D244" s="14" t="str">
        <f aca="false">IF(C244="","",IFERROR(VLOOKUP(C244,Equipo!$A$2:$B$4,2,FALSE()),""))</f>
        <v/>
      </c>
      <c r="E244" s="13"/>
      <c r="F244" s="13"/>
      <c r="G244" s="13"/>
      <c r="H244" s="13"/>
      <c r="I244" s="13"/>
    </row>
    <row r="245" customFormat="false" ht="15" hidden="false" customHeight="false" outlineLevel="0" collapsed="false">
      <c r="A245" s="11"/>
      <c r="B245" s="12"/>
      <c r="C245" s="13"/>
      <c r="D245" s="14" t="str">
        <f aca="false">IF(C245="","",IFERROR(VLOOKUP(C245,Equipo!$A$2:$B$4,2,FALSE()),""))</f>
        <v/>
      </c>
      <c r="E245" s="13"/>
      <c r="F245" s="13"/>
      <c r="G245" s="13"/>
      <c r="H245" s="13"/>
      <c r="I245" s="13"/>
    </row>
    <row r="246" customFormat="false" ht="15" hidden="false" customHeight="false" outlineLevel="0" collapsed="false">
      <c r="A246" s="11"/>
      <c r="B246" s="12"/>
      <c r="C246" s="13"/>
      <c r="D246" s="14" t="str">
        <f aca="false">IF(C246="","",IFERROR(VLOOKUP(C246,Equipo!$A$2:$B$4,2,FALSE()),""))</f>
        <v/>
      </c>
      <c r="E246" s="13"/>
      <c r="F246" s="13"/>
      <c r="G246" s="13"/>
      <c r="H246" s="13"/>
      <c r="I246" s="13"/>
    </row>
    <row r="247" customFormat="false" ht="15" hidden="false" customHeight="false" outlineLevel="0" collapsed="false">
      <c r="A247" s="11"/>
      <c r="B247" s="12"/>
      <c r="C247" s="13"/>
      <c r="D247" s="14" t="str">
        <f aca="false">IF(C247="","",IFERROR(VLOOKUP(C247,Equipo!$A$2:$B$4,2,FALSE()),""))</f>
        <v/>
      </c>
      <c r="E247" s="13"/>
      <c r="F247" s="13"/>
      <c r="G247" s="13"/>
      <c r="H247" s="13"/>
      <c r="I247" s="13"/>
    </row>
    <row r="248" customFormat="false" ht="15" hidden="false" customHeight="false" outlineLevel="0" collapsed="false">
      <c r="A248" s="11"/>
      <c r="B248" s="12"/>
      <c r="C248" s="13"/>
      <c r="D248" s="14" t="str">
        <f aca="false">IF(C248="","",IFERROR(VLOOKUP(C248,Equipo!$A$2:$B$4,2,FALSE()),""))</f>
        <v/>
      </c>
      <c r="E248" s="13"/>
      <c r="F248" s="13"/>
      <c r="G248" s="13"/>
      <c r="H248" s="13"/>
      <c r="I248" s="13"/>
    </row>
    <row r="249" customFormat="false" ht="15" hidden="false" customHeight="false" outlineLevel="0" collapsed="false">
      <c r="A249" s="11"/>
      <c r="B249" s="12"/>
      <c r="C249" s="13"/>
      <c r="D249" s="14" t="str">
        <f aca="false">IF(C249="","",IFERROR(VLOOKUP(C249,Equipo!$A$2:$B$4,2,FALSE()),""))</f>
        <v/>
      </c>
      <c r="E249" s="13"/>
      <c r="F249" s="13"/>
      <c r="G249" s="13"/>
      <c r="H249" s="13"/>
      <c r="I249" s="13"/>
    </row>
    <row r="250" customFormat="false" ht="15" hidden="false" customHeight="false" outlineLevel="0" collapsed="false">
      <c r="A250" s="11"/>
      <c r="B250" s="12"/>
      <c r="C250" s="13"/>
      <c r="D250" s="14" t="str">
        <f aca="false">IF(C250="","",IFERROR(VLOOKUP(C250,Equipo!$A$2:$B$4,2,FALSE()),""))</f>
        <v/>
      </c>
      <c r="E250" s="13"/>
      <c r="F250" s="13"/>
      <c r="G250" s="13"/>
      <c r="H250" s="13"/>
      <c r="I250" s="13"/>
    </row>
    <row r="251" customFormat="false" ht="15" hidden="false" customHeight="false" outlineLevel="0" collapsed="false">
      <c r="A251" s="11"/>
      <c r="B251" s="12"/>
      <c r="C251" s="13"/>
      <c r="D251" s="14" t="str">
        <f aca="false">IF(C251="","",IFERROR(VLOOKUP(C251,Equipo!$A$2:$B$4,2,FALSE()),""))</f>
        <v/>
      </c>
      <c r="E251" s="13"/>
      <c r="F251" s="13"/>
      <c r="G251" s="13"/>
      <c r="H251" s="13"/>
      <c r="I251" s="13"/>
    </row>
    <row r="252" customFormat="false" ht="15" hidden="false" customHeight="false" outlineLevel="0" collapsed="false">
      <c r="A252" s="11"/>
      <c r="B252" s="12"/>
      <c r="C252" s="13"/>
      <c r="D252" s="14" t="str">
        <f aca="false">IF(C252="","",IFERROR(VLOOKUP(C252,Equipo!$A$2:$B$4,2,FALSE()),""))</f>
        <v/>
      </c>
      <c r="E252" s="13"/>
      <c r="F252" s="13"/>
      <c r="G252" s="13"/>
      <c r="H252" s="13"/>
      <c r="I252" s="13"/>
    </row>
    <row r="253" customFormat="false" ht="15" hidden="false" customHeight="false" outlineLevel="0" collapsed="false">
      <c r="A253" s="11"/>
      <c r="B253" s="12"/>
      <c r="C253" s="13"/>
      <c r="D253" s="14" t="str">
        <f aca="false">IF(C253="","",IFERROR(VLOOKUP(C253,Equipo!$A$2:$B$4,2,FALSE()),""))</f>
        <v/>
      </c>
      <c r="E253" s="13"/>
      <c r="F253" s="13"/>
      <c r="G253" s="13"/>
      <c r="H253" s="13"/>
      <c r="I253" s="13"/>
    </row>
    <row r="254" customFormat="false" ht="15" hidden="false" customHeight="false" outlineLevel="0" collapsed="false">
      <c r="A254" s="11"/>
      <c r="B254" s="12"/>
      <c r="C254" s="13"/>
      <c r="D254" s="14" t="str">
        <f aca="false">IF(C254="","",IFERROR(VLOOKUP(C254,Equipo!$A$2:$B$4,2,FALSE()),""))</f>
        <v/>
      </c>
      <c r="E254" s="13"/>
      <c r="F254" s="13"/>
      <c r="G254" s="13"/>
      <c r="H254" s="13"/>
      <c r="I254" s="13"/>
    </row>
    <row r="255" customFormat="false" ht="15" hidden="false" customHeight="false" outlineLevel="0" collapsed="false">
      <c r="A255" s="11"/>
      <c r="B255" s="12"/>
      <c r="C255" s="13"/>
      <c r="D255" s="14" t="str">
        <f aca="false">IF(C255="","",IFERROR(VLOOKUP(C255,Equipo!$A$2:$B$4,2,FALSE()),""))</f>
        <v/>
      </c>
      <c r="E255" s="13"/>
      <c r="F255" s="13"/>
      <c r="G255" s="13"/>
      <c r="H255" s="13"/>
      <c r="I255" s="13"/>
    </row>
    <row r="256" customFormat="false" ht="15" hidden="false" customHeight="false" outlineLevel="0" collapsed="false">
      <c r="A256" s="11"/>
      <c r="B256" s="12"/>
      <c r="C256" s="13"/>
      <c r="D256" s="14" t="str">
        <f aca="false">IF(C256="","",IFERROR(VLOOKUP(C256,Equipo!$A$2:$B$4,2,FALSE()),""))</f>
        <v/>
      </c>
      <c r="E256" s="13"/>
      <c r="F256" s="13"/>
      <c r="G256" s="13"/>
      <c r="H256" s="13"/>
      <c r="I256" s="13"/>
    </row>
    <row r="257" customFormat="false" ht="15" hidden="false" customHeight="false" outlineLevel="0" collapsed="false">
      <c r="A257" s="11"/>
      <c r="B257" s="12"/>
      <c r="C257" s="13"/>
      <c r="D257" s="14" t="str">
        <f aca="false">IF(C257="","",IFERROR(VLOOKUP(C257,Equipo!$A$2:$B$4,2,FALSE()),""))</f>
        <v/>
      </c>
      <c r="E257" s="13"/>
      <c r="F257" s="13"/>
      <c r="G257" s="13"/>
      <c r="H257" s="13"/>
      <c r="I257" s="13"/>
    </row>
    <row r="258" customFormat="false" ht="15" hidden="false" customHeight="false" outlineLevel="0" collapsed="false">
      <c r="A258" s="11"/>
      <c r="B258" s="12"/>
      <c r="C258" s="13"/>
      <c r="D258" s="14" t="str">
        <f aca="false">IF(C258="","",IFERROR(VLOOKUP(C258,Equipo!$A$2:$B$4,2,FALSE()),""))</f>
        <v/>
      </c>
      <c r="E258" s="13"/>
      <c r="F258" s="13"/>
      <c r="G258" s="13"/>
      <c r="H258" s="13"/>
      <c r="I258" s="13"/>
    </row>
    <row r="259" customFormat="false" ht="15" hidden="false" customHeight="false" outlineLevel="0" collapsed="false">
      <c r="A259" s="11"/>
      <c r="B259" s="12"/>
      <c r="C259" s="13"/>
      <c r="D259" s="14" t="str">
        <f aca="false">IF(C259="","",IFERROR(VLOOKUP(C259,Equipo!$A$2:$B$4,2,FALSE()),""))</f>
        <v/>
      </c>
      <c r="E259" s="13"/>
      <c r="F259" s="13"/>
      <c r="G259" s="13"/>
      <c r="H259" s="13"/>
      <c r="I259" s="13"/>
    </row>
    <row r="260" customFormat="false" ht="15" hidden="false" customHeight="false" outlineLevel="0" collapsed="false">
      <c r="A260" s="11"/>
      <c r="B260" s="12"/>
      <c r="C260" s="13"/>
      <c r="D260" s="14" t="str">
        <f aca="false">IF(C260="","",IFERROR(VLOOKUP(C260,Equipo!$A$2:$B$4,2,FALSE()),""))</f>
        <v/>
      </c>
      <c r="E260" s="13"/>
      <c r="F260" s="13"/>
      <c r="G260" s="13"/>
      <c r="H260" s="13"/>
      <c r="I260" s="13"/>
    </row>
    <row r="261" customFormat="false" ht="15" hidden="false" customHeight="false" outlineLevel="0" collapsed="false">
      <c r="A261" s="11"/>
      <c r="B261" s="12"/>
      <c r="C261" s="13"/>
      <c r="D261" s="14" t="str">
        <f aca="false">IF(C261="","",IFERROR(VLOOKUP(C261,Equipo!$A$2:$B$4,2,FALSE()),""))</f>
        <v/>
      </c>
      <c r="E261" s="13"/>
      <c r="F261" s="13"/>
      <c r="G261" s="13"/>
      <c r="H261" s="13"/>
      <c r="I261" s="13"/>
    </row>
    <row r="262" customFormat="false" ht="15" hidden="false" customHeight="false" outlineLevel="0" collapsed="false">
      <c r="A262" s="11"/>
      <c r="B262" s="12"/>
      <c r="C262" s="13"/>
      <c r="D262" s="14" t="str">
        <f aca="false">IF(C262="","",IFERROR(VLOOKUP(C262,Equipo!$A$2:$B$4,2,FALSE()),""))</f>
        <v/>
      </c>
      <c r="E262" s="13"/>
      <c r="F262" s="13"/>
      <c r="G262" s="13"/>
      <c r="H262" s="13"/>
      <c r="I262" s="13"/>
    </row>
    <row r="263" customFormat="false" ht="15" hidden="false" customHeight="false" outlineLevel="0" collapsed="false">
      <c r="A263" s="11"/>
      <c r="B263" s="12"/>
      <c r="C263" s="13"/>
      <c r="D263" s="14" t="str">
        <f aca="false">IF(C263="","",IFERROR(VLOOKUP(C263,Equipo!$A$2:$B$4,2,FALSE()),""))</f>
        <v/>
      </c>
      <c r="E263" s="13"/>
      <c r="F263" s="13"/>
      <c r="G263" s="13"/>
      <c r="H263" s="13"/>
      <c r="I263" s="13"/>
    </row>
    <row r="264" customFormat="false" ht="15" hidden="false" customHeight="false" outlineLevel="0" collapsed="false">
      <c r="A264" s="11"/>
      <c r="B264" s="12"/>
      <c r="C264" s="13"/>
      <c r="D264" s="14" t="str">
        <f aca="false">IF(C264="","",IFERROR(VLOOKUP(C264,Equipo!$A$2:$B$4,2,FALSE()),""))</f>
        <v/>
      </c>
      <c r="E264" s="13"/>
      <c r="F264" s="13"/>
      <c r="G264" s="13"/>
      <c r="H264" s="13"/>
      <c r="I264" s="13"/>
    </row>
    <row r="265" customFormat="false" ht="15" hidden="false" customHeight="false" outlineLevel="0" collapsed="false">
      <c r="A265" s="11"/>
      <c r="B265" s="12"/>
      <c r="C265" s="13"/>
      <c r="D265" s="14" t="str">
        <f aca="false">IF(C265="","",IFERROR(VLOOKUP(C265,Equipo!$A$2:$B$4,2,FALSE()),""))</f>
        <v/>
      </c>
      <c r="E265" s="13"/>
      <c r="F265" s="13"/>
      <c r="G265" s="13"/>
      <c r="H265" s="13"/>
      <c r="I265" s="13"/>
    </row>
    <row r="266" customFormat="false" ht="15" hidden="false" customHeight="false" outlineLevel="0" collapsed="false">
      <c r="A266" s="11"/>
      <c r="B266" s="12"/>
      <c r="C266" s="13"/>
      <c r="D266" s="14" t="str">
        <f aca="false">IF(C266="","",IFERROR(VLOOKUP(C266,Equipo!$A$2:$B$4,2,FALSE()),""))</f>
        <v/>
      </c>
      <c r="E266" s="13"/>
      <c r="F266" s="13"/>
      <c r="G266" s="13"/>
      <c r="H266" s="13"/>
      <c r="I266" s="13"/>
    </row>
    <row r="267" customFormat="false" ht="15" hidden="false" customHeight="false" outlineLevel="0" collapsed="false">
      <c r="A267" s="11"/>
      <c r="B267" s="12"/>
      <c r="C267" s="13"/>
      <c r="D267" s="14" t="str">
        <f aca="false">IF(C267="","",IFERROR(VLOOKUP(C267,Equipo!$A$2:$B$4,2,FALSE()),""))</f>
        <v/>
      </c>
      <c r="E267" s="13"/>
      <c r="F267" s="13"/>
      <c r="G267" s="13"/>
      <c r="H267" s="13"/>
      <c r="I267" s="13"/>
    </row>
    <row r="268" customFormat="false" ht="15" hidden="false" customHeight="false" outlineLevel="0" collapsed="false">
      <c r="A268" s="11"/>
      <c r="B268" s="12"/>
      <c r="C268" s="13"/>
      <c r="D268" s="14" t="str">
        <f aca="false">IF(C268="","",IFERROR(VLOOKUP(C268,Equipo!$A$2:$B$4,2,FALSE()),""))</f>
        <v/>
      </c>
      <c r="E268" s="13"/>
      <c r="F268" s="13"/>
      <c r="G268" s="13"/>
      <c r="H268" s="13"/>
      <c r="I268" s="13"/>
    </row>
    <row r="269" customFormat="false" ht="15" hidden="false" customHeight="false" outlineLevel="0" collapsed="false">
      <c r="A269" s="11"/>
      <c r="B269" s="12"/>
      <c r="C269" s="13"/>
      <c r="D269" s="14" t="str">
        <f aca="false">IF(C269="","",IFERROR(VLOOKUP(C269,Equipo!$A$2:$B$4,2,FALSE()),""))</f>
        <v/>
      </c>
      <c r="E269" s="13"/>
      <c r="F269" s="13"/>
      <c r="G269" s="13"/>
      <c r="H269" s="13"/>
      <c r="I269" s="13"/>
    </row>
    <row r="270" customFormat="false" ht="15" hidden="false" customHeight="false" outlineLevel="0" collapsed="false">
      <c r="A270" s="11"/>
      <c r="B270" s="12"/>
      <c r="C270" s="13"/>
      <c r="D270" s="14" t="str">
        <f aca="false">IF(C270="","",IFERROR(VLOOKUP(C270,Equipo!$A$2:$B$4,2,FALSE()),""))</f>
        <v/>
      </c>
      <c r="E270" s="13"/>
      <c r="F270" s="13"/>
      <c r="G270" s="13"/>
      <c r="H270" s="13"/>
      <c r="I270" s="13"/>
    </row>
    <row r="271" customFormat="false" ht="15" hidden="false" customHeight="false" outlineLevel="0" collapsed="false">
      <c r="A271" s="11"/>
      <c r="B271" s="12"/>
      <c r="C271" s="13"/>
      <c r="D271" s="14" t="str">
        <f aca="false">IF(C271="","",IFERROR(VLOOKUP(C271,Equipo!$A$2:$B$4,2,FALSE()),""))</f>
        <v/>
      </c>
      <c r="E271" s="13"/>
      <c r="F271" s="13"/>
      <c r="G271" s="13"/>
      <c r="H271" s="13"/>
      <c r="I271" s="13"/>
    </row>
    <row r="272" customFormat="false" ht="15" hidden="false" customHeight="false" outlineLevel="0" collapsed="false">
      <c r="A272" s="11"/>
      <c r="B272" s="12"/>
      <c r="C272" s="13"/>
      <c r="D272" s="14" t="str">
        <f aca="false">IF(C272="","",IFERROR(VLOOKUP(C272,Equipo!$A$2:$B$4,2,FALSE()),""))</f>
        <v/>
      </c>
      <c r="E272" s="13"/>
      <c r="F272" s="13"/>
      <c r="G272" s="13"/>
      <c r="H272" s="13"/>
      <c r="I272" s="13"/>
    </row>
    <row r="273" customFormat="false" ht="15" hidden="false" customHeight="false" outlineLevel="0" collapsed="false">
      <c r="A273" s="11"/>
      <c r="B273" s="12"/>
      <c r="C273" s="13"/>
      <c r="D273" s="14" t="str">
        <f aca="false">IF(C273="","",IFERROR(VLOOKUP(C273,Equipo!$A$2:$B$4,2,FALSE()),""))</f>
        <v/>
      </c>
      <c r="E273" s="13"/>
      <c r="F273" s="13"/>
      <c r="G273" s="13"/>
      <c r="H273" s="13"/>
      <c r="I273" s="13"/>
    </row>
    <row r="274" customFormat="false" ht="15" hidden="false" customHeight="false" outlineLevel="0" collapsed="false">
      <c r="A274" s="11"/>
      <c r="B274" s="12"/>
      <c r="C274" s="13"/>
      <c r="D274" s="14" t="str">
        <f aca="false">IF(C274="","",IFERROR(VLOOKUP(C274,Equipo!$A$2:$B$4,2,FALSE()),""))</f>
        <v/>
      </c>
      <c r="E274" s="13"/>
      <c r="F274" s="13"/>
      <c r="G274" s="13"/>
      <c r="H274" s="13"/>
      <c r="I274" s="13"/>
    </row>
    <row r="275" customFormat="false" ht="15" hidden="false" customHeight="false" outlineLevel="0" collapsed="false">
      <c r="A275" s="11"/>
      <c r="B275" s="12"/>
      <c r="C275" s="13"/>
      <c r="D275" s="14" t="str">
        <f aca="false">IF(C275="","",IFERROR(VLOOKUP(C275,Equipo!$A$2:$B$4,2,FALSE()),""))</f>
        <v/>
      </c>
      <c r="E275" s="13"/>
      <c r="F275" s="13"/>
      <c r="G275" s="13"/>
      <c r="H275" s="13"/>
      <c r="I275" s="13"/>
    </row>
    <row r="276" customFormat="false" ht="15" hidden="false" customHeight="false" outlineLevel="0" collapsed="false">
      <c r="A276" s="11"/>
      <c r="B276" s="12"/>
      <c r="C276" s="13"/>
      <c r="D276" s="14" t="str">
        <f aca="false">IF(C276="","",IFERROR(VLOOKUP(C276,Equipo!$A$2:$B$4,2,FALSE()),""))</f>
        <v/>
      </c>
      <c r="E276" s="13"/>
      <c r="F276" s="13"/>
      <c r="G276" s="13"/>
      <c r="H276" s="13"/>
      <c r="I276" s="13"/>
    </row>
    <row r="277" customFormat="false" ht="15" hidden="false" customHeight="false" outlineLevel="0" collapsed="false">
      <c r="A277" s="11"/>
      <c r="B277" s="12"/>
      <c r="C277" s="13"/>
      <c r="D277" s="14" t="str">
        <f aca="false">IF(C277="","",IFERROR(VLOOKUP(C277,Equipo!$A$2:$B$4,2,FALSE()),""))</f>
        <v/>
      </c>
      <c r="E277" s="13"/>
      <c r="F277" s="13"/>
      <c r="G277" s="13"/>
      <c r="H277" s="13"/>
      <c r="I277" s="13"/>
    </row>
    <row r="278" customFormat="false" ht="15" hidden="false" customHeight="false" outlineLevel="0" collapsed="false">
      <c r="A278" s="11"/>
      <c r="B278" s="12"/>
      <c r="C278" s="13"/>
      <c r="D278" s="14" t="str">
        <f aca="false">IF(C278="","",IFERROR(VLOOKUP(C278,Equipo!$A$2:$B$4,2,FALSE()),""))</f>
        <v/>
      </c>
      <c r="E278" s="13"/>
      <c r="F278" s="13"/>
      <c r="G278" s="13"/>
      <c r="H278" s="13"/>
      <c r="I278" s="13"/>
    </row>
    <row r="279" customFormat="false" ht="15" hidden="false" customHeight="false" outlineLevel="0" collapsed="false">
      <c r="A279" s="11"/>
      <c r="B279" s="12"/>
      <c r="C279" s="13"/>
      <c r="D279" s="14" t="str">
        <f aca="false">IF(C279="","",IFERROR(VLOOKUP(C279,Equipo!$A$2:$B$4,2,FALSE()),""))</f>
        <v/>
      </c>
      <c r="E279" s="13"/>
      <c r="F279" s="13"/>
      <c r="G279" s="13"/>
      <c r="H279" s="13"/>
      <c r="I279" s="13"/>
    </row>
    <row r="280" customFormat="false" ht="15" hidden="false" customHeight="false" outlineLevel="0" collapsed="false">
      <c r="A280" s="11"/>
      <c r="B280" s="12"/>
      <c r="C280" s="13"/>
      <c r="D280" s="14" t="str">
        <f aca="false">IF(C280="","",IFERROR(VLOOKUP(C280,Equipo!$A$2:$B$4,2,FALSE()),""))</f>
        <v/>
      </c>
      <c r="E280" s="13"/>
      <c r="F280" s="13"/>
      <c r="G280" s="13"/>
      <c r="H280" s="13"/>
      <c r="I280" s="13"/>
    </row>
    <row r="281" customFormat="false" ht="15" hidden="false" customHeight="false" outlineLevel="0" collapsed="false">
      <c r="A281" s="11"/>
      <c r="B281" s="12"/>
      <c r="C281" s="13"/>
      <c r="D281" s="14" t="str">
        <f aca="false">IF(C281="","",IFERROR(VLOOKUP(C281,Equipo!$A$2:$B$4,2,FALSE()),""))</f>
        <v/>
      </c>
      <c r="E281" s="13"/>
      <c r="F281" s="13"/>
      <c r="G281" s="13"/>
      <c r="H281" s="13"/>
      <c r="I281" s="13"/>
    </row>
    <row r="282" customFormat="false" ht="15" hidden="false" customHeight="false" outlineLevel="0" collapsed="false">
      <c r="A282" s="11"/>
      <c r="B282" s="12"/>
      <c r="C282" s="13"/>
      <c r="D282" s="14" t="str">
        <f aca="false">IF(C282="","",IFERROR(VLOOKUP(C282,Equipo!$A$2:$B$4,2,FALSE()),""))</f>
        <v/>
      </c>
      <c r="E282" s="13"/>
      <c r="F282" s="13"/>
      <c r="G282" s="13"/>
      <c r="H282" s="13"/>
      <c r="I282" s="13"/>
    </row>
    <row r="283" customFormat="false" ht="15" hidden="false" customHeight="false" outlineLevel="0" collapsed="false">
      <c r="A283" s="11"/>
      <c r="B283" s="12"/>
      <c r="C283" s="13"/>
      <c r="D283" s="14" t="str">
        <f aca="false">IF(C283="","",IFERROR(VLOOKUP(C283,Equipo!$A$2:$B$4,2,FALSE()),""))</f>
        <v/>
      </c>
      <c r="E283" s="13"/>
      <c r="F283" s="13"/>
      <c r="G283" s="13"/>
      <c r="H283" s="13"/>
      <c r="I283" s="13"/>
    </row>
    <row r="284" customFormat="false" ht="15" hidden="false" customHeight="false" outlineLevel="0" collapsed="false">
      <c r="A284" s="11"/>
      <c r="B284" s="12"/>
      <c r="C284" s="13"/>
      <c r="D284" s="14" t="str">
        <f aca="false">IF(C284="","",IFERROR(VLOOKUP(C284,Equipo!$A$2:$B$4,2,FALSE()),""))</f>
        <v/>
      </c>
      <c r="E284" s="13"/>
      <c r="F284" s="13"/>
      <c r="G284" s="13"/>
      <c r="H284" s="13"/>
      <c r="I284" s="13"/>
    </row>
    <row r="285" customFormat="false" ht="15" hidden="false" customHeight="false" outlineLevel="0" collapsed="false">
      <c r="A285" s="11"/>
      <c r="B285" s="12"/>
      <c r="C285" s="13"/>
      <c r="D285" s="14" t="str">
        <f aca="false">IF(C285="","",IFERROR(VLOOKUP(C285,Equipo!$A$2:$B$4,2,FALSE()),""))</f>
        <v/>
      </c>
      <c r="E285" s="13"/>
      <c r="F285" s="13"/>
      <c r="G285" s="13"/>
      <c r="H285" s="13"/>
      <c r="I285" s="13"/>
    </row>
    <row r="286" customFormat="false" ht="15" hidden="false" customHeight="false" outlineLevel="0" collapsed="false">
      <c r="A286" s="11"/>
      <c r="B286" s="12"/>
      <c r="C286" s="13"/>
      <c r="D286" s="14" t="str">
        <f aca="false">IF(C286="","",IFERROR(VLOOKUP(C286,Equipo!$A$2:$B$4,2,FALSE()),""))</f>
        <v/>
      </c>
      <c r="E286" s="13"/>
      <c r="F286" s="13"/>
      <c r="G286" s="13"/>
      <c r="H286" s="13"/>
      <c r="I286" s="13"/>
    </row>
    <row r="287" customFormat="false" ht="15" hidden="false" customHeight="false" outlineLevel="0" collapsed="false">
      <c r="A287" s="11"/>
      <c r="B287" s="12"/>
      <c r="C287" s="13"/>
      <c r="D287" s="14" t="str">
        <f aca="false">IF(C287="","",IFERROR(VLOOKUP(C287,Equipo!$A$2:$B$4,2,FALSE()),""))</f>
        <v/>
      </c>
      <c r="E287" s="13"/>
      <c r="F287" s="13"/>
      <c r="G287" s="13"/>
      <c r="H287" s="13"/>
      <c r="I287" s="13"/>
    </row>
    <row r="288" customFormat="false" ht="15" hidden="false" customHeight="false" outlineLevel="0" collapsed="false">
      <c r="A288" s="11"/>
      <c r="B288" s="12"/>
      <c r="C288" s="13"/>
      <c r="D288" s="14" t="str">
        <f aca="false">IF(C288="","",IFERROR(VLOOKUP(C288,Equipo!$A$2:$B$4,2,FALSE()),""))</f>
        <v/>
      </c>
      <c r="E288" s="13"/>
      <c r="F288" s="13"/>
      <c r="G288" s="13"/>
      <c r="H288" s="13"/>
      <c r="I288" s="13"/>
    </row>
    <row r="289" customFormat="false" ht="15" hidden="false" customHeight="false" outlineLevel="0" collapsed="false">
      <c r="A289" s="11"/>
      <c r="B289" s="12"/>
      <c r="C289" s="13"/>
      <c r="D289" s="14" t="str">
        <f aca="false">IF(C289="","",IFERROR(VLOOKUP(C289,Equipo!$A$2:$B$4,2,FALSE()),""))</f>
        <v/>
      </c>
      <c r="E289" s="13"/>
      <c r="F289" s="13"/>
      <c r="G289" s="13"/>
      <c r="H289" s="13"/>
      <c r="I289" s="13"/>
    </row>
    <row r="290" customFormat="false" ht="15" hidden="false" customHeight="false" outlineLevel="0" collapsed="false">
      <c r="A290" s="11"/>
      <c r="B290" s="12"/>
      <c r="C290" s="13"/>
      <c r="D290" s="14" t="str">
        <f aca="false">IF(C290="","",IFERROR(VLOOKUP(C290,Equipo!$A$2:$B$4,2,FALSE()),""))</f>
        <v/>
      </c>
      <c r="E290" s="13"/>
      <c r="F290" s="13"/>
      <c r="G290" s="13"/>
      <c r="H290" s="13"/>
      <c r="I290" s="13"/>
    </row>
    <row r="291" customFormat="false" ht="15" hidden="false" customHeight="false" outlineLevel="0" collapsed="false">
      <c r="A291" s="11"/>
      <c r="B291" s="12"/>
      <c r="C291" s="13"/>
      <c r="D291" s="14" t="str">
        <f aca="false">IF(C291="","",IFERROR(VLOOKUP(C291,Equipo!$A$2:$B$4,2,FALSE()),""))</f>
        <v/>
      </c>
      <c r="E291" s="13"/>
      <c r="F291" s="13"/>
      <c r="G291" s="13"/>
      <c r="H291" s="13"/>
      <c r="I291" s="13"/>
    </row>
    <row r="292" customFormat="false" ht="15" hidden="false" customHeight="false" outlineLevel="0" collapsed="false">
      <c r="A292" s="11"/>
      <c r="B292" s="12"/>
      <c r="C292" s="13"/>
      <c r="D292" s="14" t="str">
        <f aca="false">IF(C292="","",IFERROR(VLOOKUP(C292,Equipo!$A$2:$B$4,2,FALSE()),""))</f>
        <v/>
      </c>
      <c r="E292" s="13"/>
      <c r="F292" s="13"/>
      <c r="G292" s="13"/>
      <c r="H292" s="13"/>
      <c r="I292" s="13"/>
    </row>
    <row r="293" customFormat="false" ht="15" hidden="false" customHeight="false" outlineLevel="0" collapsed="false">
      <c r="A293" s="11"/>
      <c r="B293" s="12"/>
      <c r="C293" s="13"/>
      <c r="D293" s="14" t="str">
        <f aca="false">IF(C293="","",IFERROR(VLOOKUP(C293,Equipo!$A$2:$B$4,2,FALSE()),""))</f>
        <v/>
      </c>
      <c r="E293" s="13"/>
      <c r="F293" s="13"/>
      <c r="G293" s="13"/>
      <c r="H293" s="13"/>
      <c r="I293" s="13"/>
    </row>
    <row r="294" customFormat="false" ht="15" hidden="false" customHeight="false" outlineLevel="0" collapsed="false">
      <c r="A294" s="11"/>
      <c r="B294" s="12"/>
      <c r="C294" s="13"/>
      <c r="D294" s="14" t="str">
        <f aca="false">IF(C294="","",IFERROR(VLOOKUP(C294,Equipo!$A$2:$B$4,2,FALSE()),""))</f>
        <v/>
      </c>
      <c r="E294" s="13"/>
      <c r="F294" s="13"/>
      <c r="G294" s="13"/>
      <c r="H294" s="13"/>
      <c r="I294" s="13"/>
    </row>
    <row r="295" customFormat="false" ht="15" hidden="false" customHeight="false" outlineLevel="0" collapsed="false">
      <c r="A295" s="11"/>
      <c r="B295" s="12"/>
      <c r="C295" s="13"/>
      <c r="D295" s="14" t="str">
        <f aca="false">IF(C295="","",IFERROR(VLOOKUP(C295,Equipo!$A$2:$B$4,2,FALSE()),""))</f>
        <v/>
      </c>
      <c r="E295" s="13"/>
      <c r="F295" s="13"/>
      <c r="G295" s="13"/>
      <c r="H295" s="13"/>
      <c r="I295" s="13"/>
    </row>
    <row r="296" customFormat="false" ht="15" hidden="false" customHeight="false" outlineLevel="0" collapsed="false">
      <c r="A296" s="11"/>
      <c r="B296" s="12"/>
      <c r="C296" s="13"/>
      <c r="D296" s="14" t="str">
        <f aca="false">IF(C296="","",IFERROR(VLOOKUP(C296,Equipo!$A$2:$B$4,2,FALSE()),""))</f>
        <v/>
      </c>
      <c r="E296" s="13"/>
      <c r="F296" s="13"/>
      <c r="G296" s="13"/>
      <c r="H296" s="13"/>
      <c r="I296" s="13"/>
    </row>
    <row r="297" customFormat="false" ht="15" hidden="false" customHeight="false" outlineLevel="0" collapsed="false">
      <c r="A297" s="11"/>
      <c r="B297" s="12"/>
      <c r="C297" s="13"/>
      <c r="D297" s="14" t="str">
        <f aca="false">IF(C297="","",IFERROR(VLOOKUP(C297,Equipo!$A$2:$B$4,2,FALSE()),""))</f>
        <v/>
      </c>
      <c r="E297" s="13"/>
      <c r="F297" s="13"/>
      <c r="G297" s="13"/>
      <c r="H297" s="13"/>
      <c r="I297" s="13"/>
    </row>
    <row r="298" customFormat="false" ht="15" hidden="false" customHeight="false" outlineLevel="0" collapsed="false">
      <c r="A298" s="11"/>
      <c r="B298" s="12"/>
      <c r="C298" s="13"/>
      <c r="D298" s="14" t="str">
        <f aca="false">IF(C298="","",IFERROR(VLOOKUP(C298,Equipo!$A$2:$B$4,2,FALSE()),""))</f>
        <v/>
      </c>
      <c r="E298" s="13"/>
      <c r="F298" s="13"/>
      <c r="G298" s="13"/>
      <c r="H298" s="13"/>
      <c r="I298" s="13"/>
    </row>
    <row r="299" customFormat="false" ht="15" hidden="false" customHeight="false" outlineLevel="0" collapsed="false">
      <c r="A299" s="11"/>
      <c r="B299" s="12"/>
      <c r="C299" s="13"/>
      <c r="D299" s="14" t="str">
        <f aca="false">IF(C299="","",IFERROR(VLOOKUP(C299,Equipo!$A$2:$B$4,2,FALSE()),""))</f>
        <v/>
      </c>
      <c r="E299" s="13"/>
      <c r="F299" s="13"/>
      <c r="G299" s="13"/>
      <c r="H299" s="13"/>
      <c r="I299" s="13"/>
    </row>
    <row r="300" customFormat="false" ht="15" hidden="false" customHeight="false" outlineLevel="0" collapsed="false">
      <c r="A300" s="11"/>
      <c r="B300" s="12"/>
      <c r="C300" s="13"/>
      <c r="D300" s="14" t="str">
        <f aca="false">IF(C300="","",IFERROR(VLOOKUP(C300,Equipo!$A$2:$B$4,2,FALSE()),""))</f>
        <v/>
      </c>
      <c r="E300" s="13"/>
      <c r="F300" s="13"/>
      <c r="G300" s="13"/>
      <c r="H300" s="13"/>
      <c r="I300" s="13"/>
    </row>
    <row r="301" customFormat="false" ht="15" hidden="false" customHeight="false" outlineLevel="0" collapsed="false">
      <c r="A301" s="11"/>
      <c r="B301" s="12"/>
      <c r="C301" s="13"/>
      <c r="D301" s="14" t="str">
        <f aca="false">IF(C301="","",IFERROR(VLOOKUP(C301,Equipo!$A$2:$B$4,2,FALSE()),""))</f>
        <v/>
      </c>
      <c r="E301" s="13"/>
      <c r="F301" s="13"/>
      <c r="G301" s="13"/>
      <c r="H301" s="13"/>
      <c r="I301" s="13"/>
    </row>
    <row r="302" customFormat="false" ht="15" hidden="false" customHeight="false" outlineLevel="0" collapsed="false">
      <c r="A302" s="11"/>
      <c r="B302" s="12"/>
      <c r="C302" s="13"/>
      <c r="D302" s="14" t="str">
        <f aca="false">IF(C302="","",IFERROR(VLOOKUP(C302,Equipo!$A$2:$B$4,2,FALSE()),""))</f>
        <v/>
      </c>
      <c r="E302" s="13"/>
      <c r="F302" s="13"/>
      <c r="G302" s="13"/>
      <c r="H302" s="13"/>
      <c r="I302" s="13"/>
    </row>
    <row r="303" customFormat="false" ht="15" hidden="false" customHeight="false" outlineLevel="0" collapsed="false">
      <c r="A303" s="11"/>
      <c r="B303" s="12"/>
      <c r="C303" s="13"/>
      <c r="D303" s="14" t="str">
        <f aca="false">IF(C303="","",IFERROR(VLOOKUP(C303,Equipo!$A$2:$B$4,2,FALSE()),""))</f>
        <v/>
      </c>
      <c r="E303" s="13"/>
      <c r="F303" s="13"/>
      <c r="G303" s="13"/>
      <c r="H303" s="13"/>
      <c r="I303" s="13"/>
    </row>
    <row r="304" customFormat="false" ht="15" hidden="false" customHeight="false" outlineLevel="0" collapsed="false">
      <c r="A304" s="11"/>
      <c r="B304" s="12"/>
      <c r="C304" s="13"/>
      <c r="D304" s="14" t="str">
        <f aca="false">IF(C304="","",IFERROR(VLOOKUP(C304,Equipo!$A$2:$B$4,2,FALSE()),""))</f>
        <v/>
      </c>
      <c r="E304" s="13"/>
      <c r="F304" s="13"/>
      <c r="G304" s="13"/>
      <c r="H304" s="13"/>
      <c r="I304" s="13"/>
    </row>
    <row r="305" customFormat="false" ht="15" hidden="false" customHeight="false" outlineLevel="0" collapsed="false">
      <c r="A305" s="11"/>
      <c r="B305" s="12"/>
      <c r="C305" s="13"/>
      <c r="D305" s="14" t="str">
        <f aca="false">IF(C305="","",IFERROR(VLOOKUP(C305,Equipo!$A$2:$B$4,2,FALSE()),""))</f>
        <v/>
      </c>
      <c r="E305" s="13"/>
      <c r="F305" s="13"/>
      <c r="G305" s="13"/>
      <c r="H305" s="13"/>
      <c r="I305" s="13"/>
    </row>
    <row r="306" customFormat="false" ht="15" hidden="false" customHeight="false" outlineLevel="0" collapsed="false">
      <c r="A306" s="11"/>
      <c r="B306" s="12"/>
      <c r="C306" s="13"/>
      <c r="D306" s="14" t="str">
        <f aca="false">IF(C306="","",IFERROR(VLOOKUP(C306,Equipo!$A$2:$B$4,2,FALSE()),""))</f>
        <v/>
      </c>
      <c r="E306" s="13"/>
      <c r="F306" s="13"/>
      <c r="G306" s="13"/>
      <c r="H306" s="13"/>
      <c r="I306" s="13"/>
    </row>
    <row r="307" customFormat="false" ht="15" hidden="false" customHeight="false" outlineLevel="0" collapsed="false">
      <c r="A307" s="11"/>
      <c r="B307" s="12"/>
      <c r="C307" s="13"/>
      <c r="D307" s="14" t="str">
        <f aca="false">IF(C307="","",IFERROR(VLOOKUP(C307,Equipo!$A$2:$B$4,2,FALSE()),""))</f>
        <v/>
      </c>
      <c r="E307" s="13"/>
      <c r="F307" s="13"/>
      <c r="G307" s="13"/>
      <c r="H307" s="13"/>
      <c r="I307" s="13"/>
    </row>
    <row r="308" customFormat="false" ht="15" hidden="false" customHeight="false" outlineLevel="0" collapsed="false">
      <c r="A308" s="11"/>
      <c r="B308" s="12"/>
      <c r="C308" s="13"/>
      <c r="D308" s="14" t="str">
        <f aca="false">IF(C308="","",IFERROR(VLOOKUP(C308,Equipo!$A$2:$B$4,2,FALSE()),""))</f>
        <v/>
      </c>
      <c r="E308" s="13"/>
      <c r="F308" s="13"/>
      <c r="G308" s="13"/>
      <c r="H308" s="13"/>
      <c r="I308" s="13"/>
    </row>
    <row r="309" customFormat="false" ht="15" hidden="false" customHeight="false" outlineLevel="0" collapsed="false">
      <c r="A309" s="11"/>
      <c r="B309" s="12"/>
      <c r="C309" s="13"/>
      <c r="D309" s="14" t="str">
        <f aca="false">IF(C309="","",IFERROR(VLOOKUP(C309,Equipo!$A$2:$B$4,2,FALSE()),""))</f>
        <v/>
      </c>
      <c r="E309" s="13"/>
      <c r="F309" s="13"/>
      <c r="G309" s="13"/>
      <c r="H309" s="13"/>
      <c r="I309" s="13"/>
    </row>
    <row r="310" customFormat="false" ht="15" hidden="false" customHeight="false" outlineLevel="0" collapsed="false">
      <c r="A310" s="11"/>
      <c r="B310" s="12"/>
      <c r="C310" s="13"/>
      <c r="D310" s="14" t="str">
        <f aca="false">IF(C310="","",IFERROR(VLOOKUP(C310,Equipo!$A$2:$B$4,2,FALSE()),""))</f>
        <v/>
      </c>
      <c r="E310" s="13"/>
      <c r="F310" s="13"/>
      <c r="G310" s="13"/>
      <c r="H310" s="13"/>
      <c r="I310" s="13"/>
    </row>
    <row r="311" customFormat="false" ht="15" hidden="false" customHeight="false" outlineLevel="0" collapsed="false">
      <c r="A311" s="11"/>
      <c r="B311" s="12"/>
      <c r="C311" s="13"/>
      <c r="D311" s="14" t="str">
        <f aca="false">IF(C311="","",IFERROR(VLOOKUP(C311,Equipo!$A$2:$B$4,2,FALSE()),""))</f>
        <v/>
      </c>
      <c r="E311" s="13"/>
      <c r="F311" s="13"/>
      <c r="G311" s="13"/>
      <c r="H311" s="13"/>
      <c r="I311" s="13"/>
    </row>
    <row r="312" customFormat="false" ht="15" hidden="false" customHeight="false" outlineLevel="0" collapsed="false">
      <c r="A312" s="11"/>
      <c r="B312" s="12"/>
      <c r="C312" s="13"/>
      <c r="D312" s="14" t="str">
        <f aca="false">IF(C312="","",IFERROR(VLOOKUP(C312,Equipo!$A$2:$B$4,2,FALSE()),""))</f>
        <v/>
      </c>
      <c r="E312" s="13"/>
      <c r="F312" s="13"/>
      <c r="G312" s="13"/>
      <c r="H312" s="13"/>
      <c r="I312" s="13"/>
    </row>
    <row r="313" customFormat="false" ht="15" hidden="false" customHeight="false" outlineLevel="0" collapsed="false">
      <c r="A313" s="11"/>
      <c r="B313" s="12"/>
      <c r="C313" s="13"/>
      <c r="D313" s="14" t="str">
        <f aca="false">IF(C313="","",IFERROR(VLOOKUP(C313,Equipo!$A$2:$B$4,2,FALSE()),""))</f>
        <v/>
      </c>
      <c r="E313" s="13"/>
      <c r="F313" s="13"/>
      <c r="G313" s="13"/>
      <c r="H313" s="13"/>
      <c r="I313" s="13"/>
    </row>
    <row r="314" customFormat="false" ht="15" hidden="false" customHeight="false" outlineLevel="0" collapsed="false">
      <c r="A314" s="11"/>
      <c r="B314" s="12"/>
      <c r="C314" s="13"/>
      <c r="D314" s="14" t="str">
        <f aca="false">IF(C314="","",IFERROR(VLOOKUP(C314,Equipo!$A$2:$B$4,2,FALSE()),""))</f>
        <v/>
      </c>
      <c r="E314" s="13"/>
      <c r="F314" s="13"/>
      <c r="G314" s="13"/>
      <c r="H314" s="13"/>
      <c r="I314" s="13"/>
    </row>
    <row r="315" customFormat="false" ht="15" hidden="false" customHeight="false" outlineLevel="0" collapsed="false">
      <c r="A315" s="11"/>
      <c r="B315" s="12"/>
      <c r="C315" s="13"/>
      <c r="D315" s="14" t="str">
        <f aca="false">IF(C315="","",IFERROR(VLOOKUP(C315,Equipo!$A$2:$B$4,2,FALSE()),""))</f>
        <v/>
      </c>
      <c r="E315" s="13"/>
      <c r="F315" s="13"/>
      <c r="G315" s="13"/>
      <c r="H315" s="13"/>
      <c r="I315" s="13"/>
    </row>
    <row r="316" customFormat="false" ht="15" hidden="false" customHeight="false" outlineLevel="0" collapsed="false">
      <c r="A316" s="11"/>
      <c r="B316" s="12"/>
      <c r="C316" s="13"/>
      <c r="D316" s="14" t="str">
        <f aca="false">IF(C316="","",IFERROR(VLOOKUP(C316,Equipo!$A$2:$B$4,2,FALSE()),""))</f>
        <v/>
      </c>
      <c r="E316" s="13"/>
      <c r="F316" s="13"/>
      <c r="G316" s="13"/>
      <c r="H316" s="13"/>
      <c r="I316" s="13"/>
    </row>
    <row r="317" customFormat="false" ht="15" hidden="false" customHeight="false" outlineLevel="0" collapsed="false">
      <c r="A317" s="11"/>
      <c r="B317" s="12"/>
      <c r="C317" s="13"/>
      <c r="D317" s="14" t="str">
        <f aca="false">IF(C317="","",IFERROR(VLOOKUP(C317,Equipo!$A$2:$B$4,2,FALSE()),""))</f>
        <v/>
      </c>
      <c r="E317" s="13"/>
      <c r="F317" s="13"/>
      <c r="G317" s="13"/>
      <c r="H317" s="13"/>
      <c r="I317" s="13"/>
    </row>
    <row r="318" customFormat="false" ht="15" hidden="false" customHeight="false" outlineLevel="0" collapsed="false">
      <c r="A318" s="11"/>
      <c r="B318" s="12"/>
      <c r="C318" s="13"/>
      <c r="D318" s="14" t="str">
        <f aca="false">IF(C318="","",IFERROR(VLOOKUP(C318,Equipo!$A$2:$B$4,2,FALSE()),""))</f>
        <v/>
      </c>
      <c r="E318" s="13"/>
      <c r="F318" s="13"/>
      <c r="G318" s="13"/>
      <c r="H318" s="13"/>
      <c r="I318" s="13"/>
    </row>
    <row r="319" customFormat="false" ht="15" hidden="false" customHeight="false" outlineLevel="0" collapsed="false">
      <c r="A319" s="11"/>
      <c r="B319" s="12"/>
      <c r="C319" s="13"/>
      <c r="D319" s="14" t="str">
        <f aca="false">IF(C319="","",IFERROR(VLOOKUP(C319,Equipo!$A$2:$B$4,2,FALSE()),""))</f>
        <v/>
      </c>
      <c r="E319" s="13"/>
      <c r="F319" s="13"/>
      <c r="G319" s="13"/>
      <c r="H319" s="13"/>
      <c r="I319" s="13"/>
    </row>
    <row r="320" customFormat="false" ht="15" hidden="false" customHeight="false" outlineLevel="0" collapsed="false">
      <c r="A320" s="11"/>
      <c r="B320" s="12"/>
      <c r="C320" s="13"/>
      <c r="D320" s="14" t="str">
        <f aca="false">IF(C320="","",IFERROR(VLOOKUP(C320,Equipo!$A$2:$B$4,2,FALSE()),""))</f>
        <v/>
      </c>
      <c r="E320" s="13"/>
      <c r="F320" s="13"/>
      <c r="G320" s="13"/>
      <c r="H320" s="13"/>
      <c r="I320" s="13"/>
    </row>
    <row r="321" customFormat="false" ht="15" hidden="false" customHeight="false" outlineLevel="0" collapsed="false">
      <c r="A321" s="11"/>
      <c r="B321" s="12"/>
      <c r="C321" s="13"/>
      <c r="D321" s="14" t="str">
        <f aca="false">IF(C321="","",IFERROR(VLOOKUP(C321,Equipo!$A$2:$B$4,2,FALSE()),""))</f>
        <v/>
      </c>
      <c r="E321" s="13"/>
      <c r="F321" s="13"/>
      <c r="G321" s="13"/>
      <c r="H321" s="13"/>
      <c r="I321" s="13"/>
    </row>
    <row r="322" customFormat="false" ht="15" hidden="false" customHeight="false" outlineLevel="0" collapsed="false">
      <c r="A322" s="11"/>
      <c r="B322" s="12"/>
      <c r="C322" s="13"/>
      <c r="D322" s="14" t="str">
        <f aca="false">IF(C322="","",IFERROR(VLOOKUP(C322,Equipo!$A$2:$B$4,2,FALSE()),""))</f>
        <v/>
      </c>
      <c r="E322" s="13"/>
      <c r="F322" s="13"/>
      <c r="G322" s="13"/>
      <c r="H322" s="13"/>
      <c r="I322" s="13"/>
    </row>
    <row r="323" customFormat="false" ht="15" hidden="false" customHeight="false" outlineLevel="0" collapsed="false">
      <c r="A323" s="11"/>
      <c r="B323" s="12"/>
      <c r="C323" s="13"/>
      <c r="D323" s="14" t="str">
        <f aca="false">IF(C323="","",IFERROR(VLOOKUP(C323,Equipo!$A$2:$B$4,2,FALSE()),""))</f>
        <v/>
      </c>
      <c r="E323" s="13"/>
      <c r="F323" s="13"/>
      <c r="G323" s="13"/>
      <c r="H323" s="13"/>
      <c r="I323" s="13"/>
    </row>
    <row r="324" customFormat="false" ht="15" hidden="false" customHeight="false" outlineLevel="0" collapsed="false">
      <c r="A324" s="11"/>
      <c r="B324" s="12"/>
      <c r="C324" s="13"/>
      <c r="D324" s="14" t="str">
        <f aca="false">IF(C324="","",IFERROR(VLOOKUP(C324,Equipo!$A$2:$B$4,2,FALSE()),""))</f>
        <v/>
      </c>
      <c r="E324" s="13"/>
      <c r="F324" s="13"/>
      <c r="G324" s="13"/>
      <c r="H324" s="13"/>
      <c r="I324" s="13"/>
    </row>
    <row r="325" customFormat="false" ht="15" hidden="false" customHeight="false" outlineLevel="0" collapsed="false">
      <c r="A325" s="11"/>
      <c r="B325" s="12"/>
      <c r="C325" s="13"/>
      <c r="D325" s="14" t="str">
        <f aca="false">IF(C325="","",IFERROR(VLOOKUP(C325,Equipo!$A$2:$B$4,2,FALSE()),""))</f>
        <v/>
      </c>
      <c r="E325" s="13"/>
      <c r="F325" s="13"/>
      <c r="G325" s="13"/>
      <c r="H325" s="13"/>
      <c r="I325" s="13"/>
    </row>
    <row r="326" customFormat="false" ht="15" hidden="false" customHeight="false" outlineLevel="0" collapsed="false">
      <c r="A326" s="11"/>
      <c r="B326" s="12"/>
      <c r="C326" s="13"/>
      <c r="D326" s="14" t="str">
        <f aca="false">IF(C326="","",IFERROR(VLOOKUP(C326,Equipo!$A$2:$B$4,2,FALSE()),""))</f>
        <v/>
      </c>
      <c r="E326" s="13"/>
      <c r="F326" s="13"/>
      <c r="G326" s="13"/>
      <c r="H326" s="13"/>
      <c r="I326" s="13"/>
    </row>
    <row r="327" customFormat="false" ht="15" hidden="false" customHeight="false" outlineLevel="0" collapsed="false">
      <c r="A327" s="11"/>
      <c r="B327" s="12"/>
      <c r="C327" s="13"/>
      <c r="D327" s="14" t="str">
        <f aca="false">IF(C327="","",IFERROR(VLOOKUP(C327,Equipo!$A$2:$B$4,2,FALSE()),""))</f>
        <v/>
      </c>
      <c r="E327" s="13"/>
      <c r="F327" s="13"/>
      <c r="G327" s="13"/>
      <c r="H327" s="13"/>
      <c r="I327" s="13"/>
    </row>
    <row r="328" customFormat="false" ht="15" hidden="false" customHeight="false" outlineLevel="0" collapsed="false">
      <c r="A328" s="11"/>
      <c r="B328" s="12"/>
      <c r="C328" s="13"/>
      <c r="D328" s="14" t="str">
        <f aca="false">IF(C328="","",IFERROR(VLOOKUP(C328,Equipo!$A$2:$B$4,2,FALSE()),""))</f>
        <v/>
      </c>
      <c r="E328" s="13"/>
      <c r="F328" s="13"/>
      <c r="G328" s="13"/>
      <c r="H328" s="13"/>
      <c r="I328" s="13"/>
    </row>
    <row r="329" customFormat="false" ht="15" hidden="false" customHeight="false" outlineLevel="0" collapsed="false">
      <c r="A329" s="11"/>
      <c r="B329" s="12"/>
      <c r="C329" s="13"/>
      <c r="D329" s="14" t="str">
        <f aca="false">IF(C329="","",IFERROR(VLOOKUP(C329,Equipo!$A$2:$B$4,2,FALSE()),""))</f>
        <v/>
      </c>
      <c r="E329" s="13"/>
      <c r="F329" s="13"/>
      <c r="G329" s="13"/>
      <c r="H329" s="13"/>
      <c r="I329" s="13"/>
    </row>
    <row r="330" customFormat="false" ht="15" hidden="false" customHeight="false" outlineLevel="0" collapsed="false">
      <c r="A330" s="11"/>
      <c r="B330" s="12"/>
      <c r="C330" s="13"/>
      <c r="D330" s="14" t="str">
        <f aca="false">IF(C330="","",IFERROR(VLOOKUP(C330,Equipo!$A$2:$B$4,2,FALSE()),""))</f>
        <v/>
      </c>
      <c r="E330" s="13"/>
      <c r="F330" s="13"/>
      <c r="G330" s="13"/>
      <c r="H330" s="13"/>
      <c r="I330" s="13"/>
    </row>
    <row r="331" customFormat="false" ht="15" hidden="false" customHeight="false" outlineLevel="0" collapsed="false">
      <c r="A331" s="11"/>
      <c r="B331" s="12"/>
      <c r="C331" s="13"/>
      <c r="D331" s="14" t="str">
        <f aca="false">IF(C331="","",IFERROR(VLOOKUP(C331,Equipo!$A$2:$B$4,2,FALSE()),""))</f>
        <v/>
      </c>
      <c r="E331" s="13"/>
      <c r="F331" s="13"/>
      <c r="G331" s="13"/>
      <c r="H331" s="13"/>
      <c r="I331" s="13"/>
    </row>
    <row r="332" customFormat="false" ht="15" hidden="false" customHeight="false" outlineLevel="0" collapsed="false">
      <c r="A332" s="11"/>
      <c r="B332" s="12"/>
      <c r="C332" s="13"/>
      <c r="D332" s="14" t="str">
        <f aca="false">IF(C332="","",IFERROR(VLOOKUP(C332,Equipo!$A$2:$B$4,2,FALSE()),""))</f>
        <v/>
      </c>
      <c r="E332" s="13"/>
      <c r="F332" s="13"/>
      <c r="G332" s="13"/>
      <c r="H332" s="13"/>
      <c r="I332" s="13"/>
    </row>
    <row r="333" customFormat="false" ht="15" hidden="false" customHeight="false" outlineLevel="0" collapsed="false">
      <c r="A333" s="11"/>
      <c r="B333" s="12"/>
      <c r="C333" s="13"/>
      <c r="D333" s="14" t="str">
        <f aca="false">IF(C333="","",IFERROR(VLOOKUP(C333,Equipo!$A$2:$B$4,2,FALSE()),""))</f>
        <v/>
      </c>
      <c r="E333" s="13"/>
      <c r="F333" s="13"/>
      <c r="G333" s="13"/>
      <c r="H333" s="13"/>
      <c r="I333" s="13"/>
    </row>
    <row r="334" customFormat="false" ht="15" hidden="false" customHeight="false" outlineLevel="0" collapsed="false">
      <c r="A334" s="11"/>
      <c r="B334" s="12"/>
      <c r="C334" s="13"/>
      <c r="D334" s="14" t="str">
        <f aca="false">IF(C334="","",IFERROR(VLOOKUP(C334,Equipo!$A$2:$B$4,2,FALSE()),""))</f>
        <v/>
      </c>
      <c r="E334" s="13"/>
      <c r="F334" s="13"/>
      <c r="G334" s="13"/>
      <c r="H334" s="13"/>
      <c r="I334" s="13"/>
    </row>
    <row r="335" customFormat="false" ht="15" hidden="false" customHeight="false" outlineLevel="0" collapsed="false">
      <c r="A335" s="11"/>
      <c r="B335" s="12"/>
      <c r="C335" s="13"/>
      <c r="D335" s="14" t="str">
        <f aca="false">IF(C335="","",IFERROR(VLOOKUP(C335,Equipo!$A$2:$B$4,2,FALSE()),""))</f>
        <v/>
      </c>
      <c r="E335" s="13"/>
      <c r="F335" s="13"/>
      <c r="G335" s="13"/>
      <c r="H335" s="13"/>
      <c r="I335" s="13"/>
    </row>
    <row r="336" customFormat="false" ht="15" hidden="false" customHeight="false" outlineLevel="0" collapsed="false">
      <c r="A336" s="11"/>
      <c r="B336" s="12"/>
      <c r="C336" s="13"/>
      <c r="D336" s="14" t="str">
        <f aca="false">IF(C336="","",IFERROR(VLOOKUP(C336,Equipo!$A$2:$B$4,2,FALSE()),""))</f>
        <v/>
      </c>
      <c r="E336" s="13"/>
      <c r="F336" s="13"/>
      <c r="G336" s="13"/>
      <c r="H336" s="13"/>
      <c r="I336" s="13"/>
    </row>
    <row r="337" customFormat="false" ht="15" hidden="false" customHeight="false" outlineLevel="0" collapsed="false">
      <c r="A337" s="11"/>
      <c r="B337" s="12"/>
      <c r="C337" s="13"/>
      <c r="D337" s="14" t="str">
        <f aca="false">IF(C337="","",IFERROR(VLOOKUP(C337,Equipo!$A$2:$B$4,2,FALSE()),""))</f>
        <v/>
      </c>
      <c r="E337" s="13"/>
      <c r="F337" s="13"/>
      <c r="G337" s="13"/>
      <c r="H337" s="13"/>
      <c r="I337" s="13"/>
    </row>
    <row r="338" customFormat="false" ht="15" hidden="false" customHeight="false" outlineLevel="0" collapsed="false">
      <c r="A338" s="11"/>
      <c r="B338" s="12"/>
      <c r="C338" s="13"/>
      <c r="D338" s="14" t="str">
        <f aca="false">IF(C338="","",IFERROR(VLOOKUP(C338,Equipo!$A$2:$B$4,2,FALSE()),""))</f>
        <v/>
      </c>
      <c r="E338" s="13"/>
      <c r="F338" s="13"/>
      <c r="G338" s="13"/>
      <c r="H338" s="13"/>
      <c r="I338" s="13"/>
    </row>
    <row r="339" customFormat="false" ht="15" hidden="false" customHeight="false" outlineLevel="0" collapsed="false">
      <c r="A339" s="11"/>
      <c r="B339" s="12"/>
      <c r="C339" s="13"/>
      <c r="D339" s="14" t="str">
        <f aca="false">IF(C339="","",IFERROR(VLOOKUP(C339,Equipo!$A$2:$B$4,2,FALSE()),""))</f>
        <v/>
      </c>
      <c r="E339" s="13"/>
      <c r="F339" s="13"/>
      <c r="G339" s="13"/>
      <c r="H339" s="13"/>
      <c r="I339" s="13"/>
    </row>
    <row r="340" customFormat="false" ht="15" hidden="false" customHeight="false" outlineLevel="0" collapsed="false">
      <c r="A340" s="11"/>
      <c r="B340" s="12"/>
      <c r="C340" s="13"/>
      <c r="D340" s="14" t="str">
        <f aca="false">IF(C340="","",IFERROR(VLOOKUP(C340,Equipo!$A$2:$B$4,2,FALSE()),""))</f>
        <v/>
      </c>
      <c r="E340" s="13"/>
      <c r="F340" s="13"/>
      <c r="G340" s="13"/>
      <c r="H340" s="13"/>
      <c r="I340" s="13"/>
    </row>
    <row r="341" customFormat="false" ht="15" hidden="false" customHeight="false" outlineLevel="0" collapsed="false">
      <c r="A341" s="11"/>
      <c r="B341" s="12"/>
      <c r="C341" s="13"/>
      <c r="D341" s="14" t="str">
        <f aca="false">IF(C341="","",IFERROR(VLOOKUP(C341,Equipo!$A$2:$B$4,2,FALSE()),""))</f>
        <v/>
      </c>
      <c r="E341" s="13"/>
      <c r="F341" s="13"/>
      <c r="G341" s="13"/>
      <c r="H341" s="13"/>
      <c r="I341" s="13"/>
    </row>
    <row r="342" customFormat="false" ht="15" hidden="false" customHeight="false" outlineLevel="0" collapsed="false">
      <c r="A342" s="11"/>
      <c r="B342" s="12"/>
      <c r="C342" s="13"/>
      <c r="D342" s="14" t="str">
        <f aca="false">IF(C342="","",IFERROR(VLOOKUP(C342,Equipo!$A$2:$B$4,2,FALSE()),""))</f>
        <v/>
      </c>
      <c r="E342" s="13"/>
      <c r="F342" s="13"/>
      <c r="G342" s="13"/>
      <c r="H342" s="13"/>
      <c r="I342" s="13"/>
    </row>
    <row r="343" customFormat="false" ht="15" hidden="false" customHeight="false" outlineLevel="0" collapsed="false">
      <c r="A343" s="11"/>
      <c r="B343" s="12"/>
      <c r="C343" s="13"/>
      <c r="D343" s="14" t="str">
        <f aca="false">IF(C343="","",IFERROR(VLOOKUP(C343,Equipo!$A$2:$B$4,2,FALSE()),""))</f>
        <v/>
      </c>
      <c r="E343" s="13"/>
      <c r="F343" s="13"/>
      <c r="G343" s="13"/>
      <c r="H343" s="13"/>
      <c r="I343" s="13"/>
    </row>
    <row r="344" customFormat="false" ht="15" hidden="false" customHeight="false" outlineLevel="0" collapsed="false">
      <c r="A344" s="11"/>
      <c r="B344" s="12"/>
      <c r="C344" s="13"/>
      <c r="D344" s="14" t="str">
        <f aca="false">IF(C344="","",IFERROR(VLOOKUP(C344,Equipo!$A$2:$B$4,2,FALSE()),""))</f>
        <v/>
      </c>
      <c r="E344" s="13"/>
      <c r="F344" s="13"/>
      <c r="G344" s="13"/>
      <c r="H344" s="13"/>
      <c r="I344" s="13"/>
    </row>
    <row r="345" customFormat="false" ht="15" hidden="false" customHeight="false" outlineLevel="0" collapsed="false">
      <c r="A345" s="11"/>
      <c r="B345" s="12"/>
      <c r="C345" s="13"/>
      <c r="D345" s="14" t="str">
        <f aca="false">IF(C345="","",IFERROR(VLOOKUP(C345,Equipo!$A$2:$B$4,2,FALSE()),""))</f>
        <v/>
      </c>
      <c r="E345" s="13"/>
      <c r="F345" s="13"/>
      <c r="G345" s="13"/>
      <c r="H345" s="13"/>
      <c r="I345" s="13"/>
    </row>
    <row r="346" customFormat="false" ht="15" hidden="false" customHeight="false" outlineLevel="0" collapsed="false">
      <c r="A346" s="11"/>
      <c r="B346" s="12"/>
      <c r="C346" s="13"/>
      <c r="D346" s="14" t="str">
        <f aca="false">IF(C346="","",IFERROR(VLOOKUP(C346,Equipo!$A$2:$B$4,2,FALSE()),""))</f>
        <v/>
      </c>
      <c r="E346" s="13"/>
      <c r="F346" s="13"/>
      <c r="G346" s="13"/>
      <c r="H346" s="13"/>
      <c r="I346" s="13"/>
    </row>
    <row r="347" customFormat="false" ht="15" hidden="false" customHeight="false" outlineLevel="0" collapsed="false">
      <c r="A347" s="11"/>
      <c r="B347" s="12"/>
      <c r="C347" s="13"/>
      <c r="D347" s="14" t="str">
        <f aca="false">IF(C347="","",IFERROR(VLOOKUP(C347,Equipo!$A$2:$B$4,2,FALSE()),""))</f>
        <v/>
      </c>
      <c r="E347" s="13"/>
      <c r="F347" s="13"/>
      <c r="G347" s="13"/>
      <c r="H347" s="13"/>
      <c r="I347" s="13"/>
    </row>
    <row r="348" customFormat="false" ht="15" hidden="false" customHeight="false" outlineLevel="0" collapsed="false">
      <c r="A348" s="11"/>
      <c r="B348" s="12"/>
      <c r="C348" s="13"/>
      <c r="D348" s="14" t="str">
        <f aca="false">IF(C348="","",IFERROR(VLOOKUP(C348,Equipo!$A$2:$B$4,2,FALSE()),""))</f>
        <v/>
      </c>
      <c r="E348" s="13"/>
      <c r="F348" s="13"/>
      <c r="G348" s="13"/>
      <c r="H348" s="13"/>
      <c r="I348" s="13"/>
    </row>
    <row r="349" customFormat="false" ht="15" hidden="false" customHeight="false" outlineLevel="0" collapsed="false">
      <c r="A349" s="11"/>
      <c r="B349" s="12"/>
      <c r="C349" s="13"/>
      <c r="D349" s="14" t="str">
        <f aca="false">IF(C349="","",IFERROR(VLOOKUP(C349,Equipo!$A$2:$B$4,2,FALSE()),""))</f>
        <v/>
      </c>
      <c r="E349" s="13"/>
      <c r="F349" s="13"/>
      <c r="G349" s="13"/>
      <c r="H349" s="13"/>
      <c r="I349" s="13"/>
    </row>
    <row r="350" customFormat="false" ht="15" hidden="false" customHeight="false" outlineLevel="0" collapsed="false">
      <c r="A350" s="11"/>
      <c r="B350" s="12"/>
      <c r="C350" s="13"/>
      <c r="D350" s="14" t="str">
        <f aca="false">IF(C350="","",IFERROR(VLOOKUP(C350,Equipo!$A$2:$B$4,2,FALSE()),""))</f>
        <v/>
      </c>
      <c r="E350" s="13"/>
      <c r="F350" s="13"/>
      <c r="G350" s="13"/>
      <c r="H350" s="13"/>
      <c r="I350" s="13"/>
    </row>
    <row r="351" customFormat="false" ht="15" hidden="false" customHeight="false" outlineLevel="0" collapsed="false">
      <c r="A351" s="11"/>
      <c r="B351" s="12"/>
      <c r="C351" s="13"/>
      <c r="D351" s="14" t="str">
        <f aca="false">IF(C351="","",IFERROR(VLOOKUP(C351,Equipo!$A$2:$B$4,2,FALSE()),""))</f>
        <v/>
      </c>
      <c r="E351" s="13"/>
      <c r="F351" s="13"/>
      <c r="G351" s="13"/>
      <c r="H351" s="13"/>
      <c r="I351" s="13"/>
    </row>
    <row r="352" customFormat="false" ht="15" hidden="false" customHeight="false" outlineLevel="0" collapsed="false">
      <c r="A352" s="11"/>
      <c r="B352" s="12"/>
      <c r="C352" s="13"/>
      <c r="D352" s="14" t="str">
        <f aca="false">IF(C352="","",IFERROR(VLOOKUP(C352,Equipo!$A$2:$B$4,2,FALSE()),""))</f>
        <v/>
      </c>
      <c r="E352" s="13"/>
      <c r="F352" s="13"/>
      <c r="G352" s="13"/>
      <c r="H352" s="13"/>
      <c r="I352" s="13"/>
    </row>
    <row r="353" customFormat="false" ht="15" hidden="false" customHeight="false" outlineLevel="0" collapsed="false">
      <c r="A353" s="11"/>
      <c r="B353" s="12"/>
      <c r="C353" s="13"/>
      <c r="D353" s="14" t="str">
        <f aca="false">IF(C353="","",IFERROR(VLOOKUP(C353,Equipo!$A$2:$B$4,2,FALSE()),""))</f>
        <v/>
      </c>
      <c r="E353" s="13"/>
      <c r="F353" s="13"/>
      <c r="G353" s="13"/>
      <c r="H353" s="13"/>
      <c r="I353" s="13"/>
    </row>
    <row r="354" customFormat="false" ht="15" hidden="false" customHeight="false" outlineLevel="0" collapsed="false">
      <c r="A354" s="11"/>
      <c r="B354" s="12"/>
      <c r="C354" s="13"/>
      <c r="D354" s="14" t="str">
        <f aca="false">IF(C354="","",IFERROR(VLOOKUP(C354,Equipo!$A$2:$B$4,2,FALSE()),""))</f>
        <v/>
      </c>
      <c r="E354" s="13"/>
      <c r="F354" s="13"/>
      <c r="G354" s="13"/>
      <c r="H354" s="13"/>
      <c r="I354" s="13"/>
    </row>
    <row r="355" customFormat="false" ht="15" hidden="false" customHeight="false" outlineLevel="0" collapsed="false">
      <c r="A355" s="11"/>
      <c r="B355" s="12"/>
      <c r="C355" s="13"/>
      <c r="D355" s="14" t="str">
        <f aca="false">IF(C355="","",IFERROR(VLOOKUP(C355,Equipo!$A$2:$B$4,2,FALSE()),""))</f>
        <v/>
      </c>
      <c r="E355" s="13"/>
      <c r="F355" s="13"/>
      <c r="G355" s="13"/>
      <c r="H355" s="13"/>
      <c r="I355" s="13"/>
    </row>
    <row r="356" customFormat="false" ht="15" hidden="false" customHeight="false" outlineLevel="0" collapsed="false">
      <c r="A356" s="11"/>
      <c r="B356" s="12"/>
      <c r="C356" s="13"/>
      <c r="D356" s="14" t="str">
        <f aca="false">IF(C356="","",IFERROR(VLOOKUP(C356,Equipo!$A$2:$B$4,2,FALSE()),""))</f>
        <v/>
      </c>
      <c r="E356" s="13"/>
      <c r="F356" s="13"/>
      <c r="G356" s="13"/>
      <c r="H356" s="13"/>
      <c r="I356" s="13"/>
    </row>
    <row r="357" customFormat="false" ht="15" hidden="false" customHeight="false" outlineLevel="0" collapsed="false">
      <c r="A357" s="11"/>
      <c r="B357" s="12"/>
      <c r="C357" s="13"/>
      <c r="D357" s="14" t="str">
        <f aca="false">IF(C357="","",IFERROR(VLOOKUP(C357,Equipo!$A$2:$B$4,2,FALSE()),""))</f>
        <v/>
      </c>
      <c r="E357" s="13"/>
      <c r="F357" s="13"/>
      <c r="G357" s="13"/>
      <c r="H357" s="13"/>
      <c r="I357" s="13"/>
    </row>
    <row r="358" customFormat="false" ht="15" hidden="false" customHeight="false" outlineLevel="0" collapsed="false">
      <c r="A358" s="11"/>
      <c r="B358" s="12"/>
      <c r="C358" s="13"/>
      <c r="D358" s="14" t="str">
        <f aca="false">IF(C358="","",IFERROR(VLOOKUP(C358,Equipo!$A$2:$B$4,2,FALSE()),""))</f>
        <v/>
      </c>
      <c r="E358" s="13"/>
      <c r="F358" s="13"/>
      <c r="G358" s="13"/>
      <c r="H358" s="13"/>
      <c r="I358" s="13"/>
    </row>
    <row r="359" customFormat="false" ht="15" hidden="false" customHeight="false" outlineLevel="0" collapsed="false">
      <c r="A359" s="11"/>
      <c r="B359" s="12"/>
      <c r="C359" s="13"/>
      <c r="D359" s="14" t="str">
        <f aca="false">IF(C359="","",IFERROR(VLOOKUP(C359,Equipo!$A$2:$B$4,2,FALSE()),""))</f>
        <v/>
      </c>
      <c r="E359" s="13"/>
      <c r="F359" s="13"/>
      <c r="G359" s="13"/>
      <c r="H359" s="13"/>
      <c r="I359" s="13"/>
    </row>
    <row r="360" customFormat="false" ht="15" hidden="false" customHeight="false" outlineLevel="0" collapsed="false">
      <c r="A360" s="11"/>
      <c r="B360" s="12"/>
      <c r="C360" s="13"/>
      <c r="D360" s="14" t="str">
        <f aca="false">IF(C360="","",IFERROR(VLOOKUP(C360,Equipo!$A$2:$B$4,2,FALSE()),""))</f>
        <v/>
      </c>
      <c r="E360" s="13"/>
      <c r="F360" s="13"/>
      <c r="G360" s="13"/>
      <c r="H360" s="13"/>
      <c r="I360" s="13"/>
    </row>
    <row r="361" customFormat="false" ht="15" hidden="false" customHeight="false" outlineLevel="0" collapsed="false">
      <c r="A361" s="11"/>
      <c r="B361" s="12"/>
      <c r="C361" s="13"/>
      <c r="D361" s="14" t="str">
        <f aca="false">IF(C361="","",IFERROR(VLOOKUP(C361,Equipo!$A$2:$B$4,2,FALSE()),""))</f>
        <v/>
      </c>
      <c r="E361" s="13"/>
      <c r="F361" s="13"/>
      <c r="G361" s="13"/>
      <c r="H361" s="13"/>
      <c r="I361" s="13"/>
    </row>
    <row r="362" customFormat="false" ht="15" hidden="false" customHeight="false" outlineLevel="0" collapsed="false">
      <c r="A362" s="11"/>
      <c r="B362" s="12"/>
      <c r="C362" s="13"/>
      <c r="D362" s="14" t="str">
        <f aca="false">IF(C362="","",IFERROR(VLOOKUP(C362,Equipo!$A$2:$B$4,2,FALSE()),""))</f>
        <v/>
      </c>
      <c r="E362" s="13"/>
      <c r="F362" s="13"/>
      <c r="G362" s="13"/>
      <c r="H362" s="13"/>
      <c r="I362" s="13"/>
    </row>
    <row r="363" customFormat="false" ht="15" hidden="false" customHeight="false" outlineLevel="0" collapsed="false">
      <c r="A363" s="11"/>
      <c r="B363" s="12"/>
      <c r="C363" s="13"/>
      <c r="D363" s="14" t="str">
        <f aca="false">IF(C363="","",IFERROR(VLOOKUP(C363,Equipo!$A$2:$B$4,2,FALSE()),""))</f>
        <v/>
      </c>
      <c r="E363" s="13"/>
      <c r="F363" s="13"/>
      <c r="G363" s="13"/>
      <c r="H363" s="13"/>
      <c r="I363" s="13"/>
    </row>
    <row r="364" customFormat="false" ht="15" hidden="false" customHeight="false" outlineLevel="0" collapsed="false">
      <c r="A364" s="11"/>
      <c r="B364" s="12"/>
      <c r="C364" s="13"/>
      <c r="D364" s="14" t="str">
        <f aca="false">IF(C364="","",IFERROR(VLOOKUP(C364,Equipo!$A$2:$B$4,2,FALSE()),""))</f>
        <v/>
      </c>
      <c r="E364" s="13"/>
      <c r="F364" s="13"/>
      <c r="G364" s="13"/>
      <c r="H364" s="13"/>
      <c r="I364" s="13"/>
    </row>
    <row r="365" customFormat="false" ht="15" hidden="false" customHeight="false" outlineLevel="0" collapsed="false">
      <c r="A365" s="11"/>
      <c r="B365" s="12"/>
      <c r="C365" s="13"/>
      <c r="D365" s="14" t="str">
        <f aca="false">IF(C365="","",IFERROR(VLOOKUP(C365,Equipo!$A$2:$B$4,2,FALSE()),""))</f>
        <v/>
      </c>
      <c r="E365" s="13"/>
      <c r="F365" s="13"/>
      <c r="G365" s="13"/>
      <c r="H365" s="13"/>
      <c r="I365" s="13"/>
    </row>
    <row r="366" customFormat="false" ht="15" hidden="false" customHeight="false" outlineLevel="0" collapsed="false">
      <c r="A366" s="11"/>
      <c r="B366" s="12"/>
      <c r="C366" s="13"/>
      <c r="D366" s="14" t="str">
        <f aca="false">IF(C366="","",IFERROR(VLOOKUP(C366,Equipo!$A$2:$B$4,2,FALSE()),""))</f>
        <v/>
      </c>
      <c r="E366" s="13"/>
      <c r="F366" s="13"/>
      <c r="G366" s="13"/>
      <c r="H366" s="13"/>
      <c r="I366" s="13"/>
    </row>
    <row r="367" customFormat="false" ht="15" hidden="false" customHeight="false" outlineLevel="0" collapsed="false">
      <c r="A367" s="11"/>
      <c r="B367" s="12"/>
      <c r="C367" s="13"/>
      <c r="D367" s="14" t="str">
        <f aca="false">IF(C367="","",IFERROR(VLOOKUP(C367,Equipo!$A$2:$B$4,2,FALSE()),""))</f>
        <v/>
      </c>
      <c r="E367" s="13"/>
      <c r="F367" s="13"/>
      <c r="G367" s="13"/>
      <c r="H367" s="13"/>
      <c r="I367" s="13"/>
    </row>
    <row r="368" customFormat="false" ht="15" hidden="false" customHeight="false" outlineLevel="0" collapsed="false">
      <c r="A368" s="11"/>
      <c r="B368" s="12"/>
      <c r="C368" s="13"/>
      <c r="D368" s="14" t="str">
        <f aca="false">IF(C368="","",IFERROR(VLOOKUP(C368,Equipo!$A$2:$B$4,2,FALSE()),""))</f>
        <v/>
      </c>
      <c r="E368" s="13"/>
      <c r="F368" s="13"/>
      <c r="G368" s="13"/>
      <c r="H368" s="13"/>
      <c r="I368" s="13"/>
    </row>
    <row r="369" customFormat="false" ht="15" hidden="false" customHeight="false" outlineLevel="0" collapsed="false">
      <c r="A369" s="11"/>
      <c r="B369" s="12"/>
      <c r="C369" s="13"/>
      <c r="D369" s="14" t="str">
        <f aca="false">IF(C369="","",IFERROR(VLOOKUP(C369,Equipo!$A$2:$B$4,2,FALSE()),""))</f>
        <v/>
      </c>
      <c r="E369" s="13"/>
      <c r="F369" s="13"/>
      <c r="G369" s="13"/>
      <c r="H369" s="13"/>
      <c r="I369" s="13"/>
    </row>
    <row r="370" customFormat="false" ht="15" hidden="false" customHeight="false" outlineLevel="0" collapsed="false">
      <c r="A370" s="11"/>
      <c r="B370" s="12"/>
      <c r="C370" s="13"/>
      <c r="D370" s="14" t="str">
        <f aca="false">IF(C370="","",IFERROR(VLOOKUP(C370,Equipo!$A$2:$B$4,2,FALSE()),""))</f>
        <v/>
      </c>
      <c r="E370" s="13"/>
      <c r="F370" s="13"/>
      <c r="G370" s="13"/>
      <c r="H370" s="13"/>
      <c r="I370" s="13"/>
    </row>
    <row r="371" customFormat="false" ht="15" hidden="false" customHeight="false" outlineLevel="0" collapsed="false">
      <c r="A371" s="11"/>
      <c r="B371" s="12"/>
      <c r="C371" s="13"/>
      <c r="D371" s="14" t="str">
        <f aca="false">IF(C371="","",IFERROR(VLOOKUP(C371,Equipo!$A$2:$B$4,2,FALSE()),""))</f>
        <v/>
      </c>
      <c r="E371" s="13"/>
      <c r="F371" s="13"/>
      <c r="G371" s="13"/>
      <c r="H371" s="13"/>
      <c r="I371" s="13"/>
    </row>
    <row r="372" customFormat="false" ht="15" hidden="false" customHeight="false" outlineLevel="0" collapsed="false">
      <c r="A372" s="11"/>
      <c r="B372" s="12"/>
      <c r="C372" s="13"/>
      <c r="D372" s="14" t="str">
        <f aca="false">IF(C372="","",IFERROR(VLOOKUP(C372,Equipo!$A$2:$B$4,2,FALSE()),""))</f>
        <v/>
      </c>
      <c r="E372" s="13"/>
      <c r="F372" s="13"/>
      <c r="G372" s="13"/>
      <c r="H372" s="13"/>
      <c r="I372" s="13"/>
    </row>
    <row r="373" customFormat="false" ht="15" hidden="false" customHeight="false" outlineLevel="0" collapsed="false">
      <c r="A373" s="11"/>
      <c r="B373" s="12"/>
      <c r="C373" s="13"/>
      <c r="D373" s="14" t="str">
        <f aca="false">IF(C373="","",IFERROR(VLOOKUP(C373,Equipo!$A$2:$B$4,2,FALSE()),""))</f>
        <v/>
      </c>
      <c r="E373" s="13"/>
      <c r="F373" s="13"/>
      <c r="G373" s="13"/>
      <c r="H373" s="13"/>
      <c r="I373" s="13"/>
    </row>
    <row r="374" customFormat="false" ht="15" hidden="false" customHeight="false" outlineLevel="0" collapsed="false">
      <c r="A374" s="11"/>
      <c r="B374" s="12"/>
      <c r="C374" s="13"/>
      <c r="D374" s="14" t="str">
        <f aca="false">IF(C374="","",IFERROR(VLOOKUP(C374,Equipo!$A$2:$B$4,2,FALSE()),""))</f>
        <v/>
      </c>
      <c r="E374" s="13"/>
      <c r="F374" s="13"/>
      <c r="G374" s="13"/>
      <c r="H374" s="13"/>
      <c r="I374" s="13"/>
    </row>
    <row r="375" customFormat="false" ht="15" hidden="false" customHeight="false" outlineLevel="0" collapsed="false">
      <c r="A375" s="11"/>
      <c r="B375" s="12"/>
      <c r="C375" s="13"/>
      <c r="D375" s="14" t="str">
        <f aca="false">IF(C375="","",IFERROR(VLOOKUP(C375,Equipo!$A$2:$B$4,2,FALSE()),""))</f>
        <v/>
      </c>
      <c r="E375" s="13"/>
      <c r="F375" s="13"/>
      <c r="G375" s="13"/>
      <c r="H375" s="13"/>
      <c r="I375" s="13"/>
    </row>
    <row r="376" customFormat="false" ht="15" hidden="false" customHeight="false" outlineLevel="0" collapsed="false">
      <c r="A376" s="11"/>
      <c r="B376" s="12"/>
      <c r="C376" s="13"/>
      <c r="D376" s="14" t="str">
        <f aca="false">IF(C376="","",IFERROR(VLOOKUP(C376,Equipo!$A$2:$B$4,2,FALSE()),""))</f>
        <v/>
      </c>
      <c r="E376" s="13"/>
      <c r="F376" s="13"/>
      <c r="G376" s="13"/>
      <c r="H376" s="13"/>
      <c r="I376" s="13"/>
    </row>
    <row r="377" customFormat="false" ht="15" hidden="false" customHeight="false" outlineLevel="0" collapsed="false">
      <c r="A377" s="11"/>
      <c r="B377" s="12"/>
      <c r="C377" s="13"/>
      <c r="D377" s="14" t="str">
        <f aca="false">IF(C377="","",IFERROR(VLOOKUP(C377,Equipo!$A$2:$B$4,2,FALSE()),""))</f>
        <v/>
      </c>
      <c r="E377" s="13"/>
      <c r="F377" s="13"/>
      <c r="G377" s="13"/>
      <c r="H377" s="13"/>
      <c r="I377" s="13"/>
    </row>
    <row r="378" customFormat="false" ht="15" hidden="false" customHeight="false" outlineLevel="0" collapsed="false">
      <c r="A378" s="11"/>
      <c r="B378" s="12"/>
      <c r="C378" s="13"/>
      <c r="D378" s="14" t="str">
        <f aca="false">IF(C378="","",IFERROR(VLOOKUP(C378,Equipo!$A$2:$B$4,2,FALSE()),""))</f>
        <v/>
      </c>
      <c r="E378" s="13"/>
      <c r="F378" s="13"/>
      <c r="G378" s="13"/>
      <c r="H378" s="13"/>
      <c r="I378" s="13"/>
    </row>
    <row r="379" customFormat="false" ht="15" hidden="false" customHeight="false" outlineLevel="0" collapsed="false">
      <c r="A379" s="11"/>
      <c r="B379" s="12"/>
      <c r="C379" s="13"/>
      <c r="D379" s="14" t="str">
        <f aca="false">IF(C379="","",IFERROR(VLOOKUP(C379,Equipo!$A$2:$B$4,2,FALSE()),""))</f>
        <v/>
      </c>
      <c r="E379" s="13"/>
      <c r="F379" s="13"/>
      <c r="G379" s="13"/>
      <c r="H379" s="13"/>
      <c r="I379" s="13"/>
    </row>
    <row r="380" customFormat="false" ht="15" hidden="false" customHeight="false" outlineLevel="0" collapsed="false">
      <c r="A380" s="11"/>
      <c r="B380" s="12"/>
      <c r="C380" s="13"/>
      <c r="D380" s="14" t="str">
        <f aca="false">IF(C380="","",IFERROR(VLOOKUP(C380,Equipo!$A$2:$B$4,2,FALSE()),""))</f>
        <v/>
      </c>
      <c r="E380" s="13"/>
      <c r="F380" s="13"/>
      <c r="G380" s="13"/>
      <c r="H380" s="13"/>
      <c r="I380" s="13"/>
    </row>
    <row r="381" customFormat="false" ht="15" hidden="false" customHeight="false" outlineLevel="0" collapsed="false">
      <c r="A381" s="11"/>
      <c r="B381" s="12"/>
      <c r="C381" s="13"/>
      <c r="D381" s="14" t="str">
        <f aca="false">IF(C381="","",IFERROR(VLOOKUP(C381,Equipo!$A$2:$B$4,2,FALSE()),""))</f>
        <v/>
      </c>
      <c r="E381" s="13"/>
      <c r="F381" s="13"/>
      <c r="G381" s="13"/>
      <c r="H381" s="13"/>
      <c r="I381" s="13"/>
    </row>
    <row r="382" customFormat="false" ht="15" hidden="false" customHeight="false" outlineLevel="0" collapsed="false">
      <c r="A382" s="11"/>
      <c r="B382" s="12"/>
      <c r="C382" s="13"/>
      <c r="D382" s="14" t="str">
        <f aca="false">IF(C382="","",IFERROR(VLOOKUP(C382,Equipo!$A$2:$B$4,2,FALSE()),""))</f>
        <v/>
      </c>
      <c r="E382" s="13"/>
      <c r="F382" s="13"/>
      <c r="G382" s="13"/>
      <c r="H382" s="13"/>
      <c r="I382" s="13"/>
    </row>
    <row r="383" customFormat="false" ht="15" hidden="false" customHeight="false" outlineLevel="0" collapsed="false">
      <c r="A383" s="11"/>
      <c r="B383" s="12"/>
      <c r="C383" s="13"/>
      <c r="D383" s="14" t="str">
        <f aca="false">IF(C383="","",IFERROR(VLOOKUP(C383,Equipo!$A$2:$B$4,2,FALSE()),""))</f>
        <v/>
      </c>
      <c r="E383" s="13"/>
      <c r="F383" s="13"/>
      <c r="G383" s="13"/>
      <c r="H383" s="13"/>
      <c r="I383" s="13"/>
    </row>
    <row r="384" customFormat="false" ht="15" hidden="false" customHeight="false" outlineLevel="0" collapsed="false">
      <c r="A384" s="11"/>
      <c r="B384" s="12"/>
      <c r="C384" s="13"/>
      <c r="D384" s="14" t="str">
        <f aca="false">IF(C384="","",IFERROR(VLOOKUP(C384,Equipo!$A$2:$B$4,2,FALSE()),""))</f>
        <v/>
      </c>
      <c r="E384" s="13"/>
      <c r="F384" s="13"/>
      <c r="G384" s="13"/>
      <c r="H384" s="13"/>
      <c r="I384" s="13"/>
    </row>
    <row r="385" customFormat="false" ht="15" hidden="false" customHeight="false" outlineLevel="0" collapsed="false">
      <c r="A385" s="11"/>
      <c r="B385" s="12"/>
      <c r="C385" s="13"/>
      <c r="D385" s="14" t="str">
        <f aca="false">IF(C385="","",IFERROR(VLOOKUP(C385,Equipo!$A$2:$B$4,2,FALSE()),""))</f>
        <v/>
      </c>
      <c r="E385" s="13"/>
      <c r="F385" s="13"/>
      <c r="G385" s="13"/>
      <c r="H385" s="13"/>
      <c r="I385" s="13"/>
    </row>
    <row r="386" customFormat="false" ht="15" hidden="false" customHeight="false" outlineLevel="0" collapsed="false">
      <c r="A386" s="11"/>
      <c r="B386" s="12"/>
      <c r="C386" s="13"/>
      <c r="D386" s="14" t="str">
        <f aca="false">IF(C386="","",IFERROR(VLOOKUP(C386,Equipo!$A$2:$B$4,2,FALSE()),""))</f>
        <v/>
      </c>
      <c r="E386" s="13"/>
      <c r="F386" s="13"/>
      <c r="G386" s="13"/>
      <c r="H386" s="13"/>
      <c r="I386" s="13"/>
    </row>
    <row r="387" customFormat="false" ht="15" hidden="false" customHeight="false" outlineLevel="0" collapsed="false">
      <c r="A387" s="11"/>
      <c r="B387" s="12"/>
      <c r="C387" s="13"/>
      <c r="D387" s="14" t="str">
        <f aca="false">IF(C387="","",IFERROR(VLOOKUP(C387,Equipo!$A$2:$B$4,2,FALSE()),""))</f>
        <v/>
      </c>
      <c r="E387" s="13"/>
      <c r="F387" s="13"/>
      <c r="G387" s="13"/>
      <c r="H387" s="13"/>
      <c r="I387" s="13"/>
    </row>
    <row r="388" customFormat="false" ht="15" hidden="false" customHeight="false" outlineLevel="0" collapsed="false">
      <c r="A388" s="11"/>
      <c r="B388" s="12"/>
      <c r="C388" s="13"/>
      <c r="D388" s="14" t="str">
        <f aca="false">IF(C388="","",IFERROR(VLOOKUP(C388,Equipo!$A$2:$B$4,2,FALSE()),""))</f>
        <v/>
      </c>
      <c r="E388" s="13"/>
      <c r="F388" s="13"/>
      <c r="G388" s="13"/>
      <c r="H388" s="13"/>
      <c r="I388" s="13"/>
    </row>
    <row r="389" customFormat="false" ht="15" hidden="false" customHeight="false" outlineLevel="0" collapsed="false">
      <c r="A389" s="11"/>
      <c r="B389" s="12"/>
      <c r="C389" s="13"/>
      <c r="D389" s="14" t="str">
        <f aca="false">IF(C389="","",IFERROR(VLOOKUP(C389,Equipo!$A$2:$B$4,2,FALSE()),""))</f>
        <v/>
      </c>
      <c r="E389" s="13"/>
      <c r="F389" s="13"/>
      <c r="G389" s="13"/>
      <c r="H389" s="13"/>
      <c r="I389" s="13"/>
    </row>
    <row r="390" customFormat="false" ht="15" hidden="false" customHeight="false" outlineLevel="0" collapsed="false">
      <c r="A390" s="11"/>
      <c r="B390" s="12"/>
      <c r="C390" s="13"/>
      <c r="D390" s="14" t="str">
        <f aca="false">IF(C390="","",IFERROR(VLOOKUP(C390,Equipo!$A$2:$B$4,2,FALSE()),""))</f>
        <v/>
      </c>
      <c r="E390" s="13"/>
      <c r="F390" s="13"/>
      <c r="G390" s="13"/>
      <c r="H390" s="13"/>
      <c r="I390" s="13"/>
    </row>
    <row r="391" customFormat="false" ht="15" hidden="false" customHeight="false" outlineLevel="0" collapsed="false">
      <c r="A391" s="11"/>
      <c r="B391" s="12"/>
      <c r="C391" s="13"/>
      <c r="D391" s="14" t="str">
        <f aca="false">IF(C391="","",IFERROR(VLOOKUP(C391,Equipo!$A$2:$B$4,2,FALSE()),""))</f>
        <v/>
      </c>
      <c r="E391" s="13"/>
      <c r="F391" s="13"/>
      <c r="G391" s="13"/>
      <c r="H391" s="13"/>
      <c r="I391" s="13"/>
    </row>
    <row r="392" customFormat="false" ht="15" hidden="false" customHeight="false" outlineLevel="0" collapsed="false">
      <c r="A392" s="11"/>
      <c r="B392" s="12"/>
      <c r="C392" s="13"/>
      <c r="D392" s="14" t="str">
        <f aca="false">IF(C392="","",IFERROR(VLOOKUP(C392,Equipo!$A$2:$B$4,2,FALSE()),""))</f>
        <v/>
      </c>
      <c r="E392" s="13"/>
      <c r="F392" s="13"/>
      <c r="G392" s="13"/>
      <c r="H392" s="13"/>
      <c r="I392" s="13"/>
    </row>
    <row r="393" customFormat="false" ht="15" hidden="false" customHeight="false" outlineLevel="0" collapsed="false">
      <c r="A393" s="11"/>
      <c r="B393" s="12"/>
      <c r="C393" s="13"/>
      <c r="D393" s="14" t="str">
        <f aca="false">IF(C393="","",IFERROR(VLOOKUP(C393,Equipo!$A$2:$B$4,2,FALSE()),""))</f>
        <v/>
      </c>
      <c r="E393" s="13"/>
      <c r="F393" s="13"/>
      <c r="G393" s="13"/>
      <c r="H393" s="13"/>
      <c r="I393" s="13"/>
    </row>
    <row r="394" customFormat="false" ht="15" hidden="false" customHeight="false" outlineLevel="0" collapsed="false">
      <c r="A394" s="11"/>
      <c r="B394" s="12"/>
      <c r="C394" s="13"/>
      <c r="D394" s="14" t="str">
        <f aca="false">IF(C394="","",IFERROR(VLOOKUP(C394,Equipo!$A$2:$B$4,2,FALSE()),""))</f>
        <v/>
      </c>
      <c r="E394" s="13"/>
      <c r="F394" s="13"/>
      <c r="G394" s="13"/>
      <c r="H394" s="13"/>
      <c r="I394" s="13"/>
    </row>
    <row r="395" customFormat="false" ht="15" hidden="false" customHeight="false" outlineLevel="0" collapsed="false">
      <c r="A395" s="11"/>
      <c r="B395" s="12"/>
      <c r="C395" s="13"/>
      <c r="D395" s="14" t="str">
        <f aca="false">IF(C395="","",IFERROR(VLOOKUP(C395,Equipo!$A$2:$B$4,2,FALSE()),""))</f>
        <v/>
      </c>
      <c r="E395" s="13"/>
      <c r="F395" s="13"/>
      <c r="G395" s="13"/>
      <c r="H395" s="13"/>
      <c r="I395" s="13"/>
    </row>
    <row r="396" customFormat="false" ht="15" hidden="false" customHeight="false" outlineLevel="0" collapsed="false">
      <c r="A396" s="11"/>
      <c r="B396" s="12"/>
      <c r="C396" s="13"/>
      <c r="D396" s="14" t="str">
        <f aca="false">IF(C396="","",IFERROR(VLOOKUP(C396,Equipo!$A$2:$B$4,2,FALSE()),""))</f>
        <v/>
      </c>
      <c r="E396" s="13"/>
      <c r="F396" s="13"/>
      <c r="G396" s="13"/>
      <c r="H396" s="13"/>
      <c r="I396" s="13"/>
    </row>
    <row r="397" customFormat="false" ht="15" hidden="false" customHeight="false" outlineLevel="0" collapsed="false">
      <c r="A397" s="11"/>
      <c r="B397" s="12"/>
      <c r="C397" s="13"/>
      <c r="D397" s="14" t="str">
        <f aca="false">IF(C397="","",IFERROR(VLOOKUP(C397,Equipo!$A$2:$B$4,2,FALSE()),""))</f>
        <v/>
      </c>
      <c r="E397" s="13"/>
      <c r="F397" s="13"/>
      <c r="G397" s="13"/>
      <c r="H397" s="13"/>
      <c r="I397" s="13"/>
    </row>
    <row r="398" customFormat="false" ht="15" hidden="false" customHeight="false" outlineLevel="0" collapsed="false">
      <c r="A398" s="11"/>
      <c r="B398" s="12"/>
      <c r="C398" s="13"/>
      <c r="D398" s="14" t="str">
        <f aca="false">IF(C398="","",IFERROR(VLOOKUP(C398,Equipo!$A$2:$B$4,2,FALSE()),""))</f>
        <v/>
      </c>
      <c r="E398" s="13"/>
      <c r="F398" s="13"/>
      <c r="G398" s="13"/>
      <c r="H398" s="13"/>
      <c r="I398" s="13"/>
    </row>
    <row r="399" customFormat="false" ht="15" hidden="false" customHeight="false" outlineLevel="0" collapsed="false">
      <c r="A399" s="11"/>
      <c r="B399" s="12"/>
      <c r="C399" s="13"/>
      <c r="D399" s="14" t="str">
        <f aca="false">IF(C399="","",IFERROR(VLOOKUP(C399,Equipo!$A$2:$B$4,2,FALSE()),""))</f>
        <v/>
      </c>
      <c r="E399" s="13"/>
      <c r="F399" s="13"/>
      <c r="G399" s="13"/>
      <c r="H399" s="13"/>
      <c r="I399" s="13"/>
    </row>
    <row r="400" customFormat="false" ht="15" hidden="false" customHeight="false" outlineLevel="0" collapsed="false">
      <c r="A400" s="11"/>
      <c r="B400" s="12"/>
      <c r="C400" s="13"/>
      <c r="D400" s="14" t="str">
        <f aca="false">IF(C400="","",IFERROR(VLOOKUP(C400,Equipo!$A$2:$B$4,2,FALSE()),""))</f>
        <v/>
      </c>
      <c r="E400" s="13"/>
      <c r="F400" s="13"/>
      <c r="G400" s="13"/>
      <c r="H400" s="13"/>
      <c r="I400" s="13"/>
    </row>
  </sheetData>
  <autoFilter ref="A4:I400"/>
  <conditionalFormatting sqref="A5:I400">
    <cfRule type="expression" priority="2" aboveAverage="0" equalAverage="0" bottom="0" percent="0" rank="0" text="" dxfId="4">
      <formula>AND($G5&lt;&gt;"",$G5&lt;&gt;"-",$G5&lt;&gt;"Ninguna",$G5&lt;&gt;"ninguna")</formula>
    </cfRule>
  </conditionalFormatting>
  <dataValidations count="3">
    <dataValidation allowBlank="true" errorStyle="stop" operator="between" showDropDown="false" showErrorMessage="false" showInputMessage="false" sqref="B5:B400" type="list">
      <formula1>"Sprint 1,Sprint 2,Sprint 3,Sprint 4,Sprint 5"</formula1>
      <formula2>0</formula2>
    </dataValidation>
    <dataValidation allowBlank="true" errorStyle="stop" operator="between" showDropDown="false" showErrorMessage="false" showInputMessage="false" sqref="C5:C400" type="list">
      <formula1>Equipo!$A$2:$A$4</formula1>
      <formula2>0</formula2>
    </dataValidation>
    <dataValidation allowBlank="true" error="Fecha entre octubre y diciembre de 2026" errorStyle="stop" operator="between" showDropDown="false" showErrorMessage="true" showInputMessage="false" sqref="A5:A400" type="date">
      <formula1>DATE(2026,10,1)</formula1>
      <formula2>DATE(2026,12,31)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4"/>
  </cols>
  <sheetData>
    <row r="1" customFormat="false" ht="19.7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23.85" hidden="false" customHeight="false" outlineLevel="0" collapsed="false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  <c r="I4" s="7" t="s">
        <v>62</v>
      </c>
      <c r="J4" s="7" t="s">
        <v>63</v>
      </c>
    </row>
    <row r="5" customFormat="false" ht="15" hidden="false" customHeight="false" outlineLevel="0" collapsed="false">
      <c r="A5" s="14" t="str">
        <f aca="false">IF(D5="","",ROW()-4)</f>
        <v/>
      </c>
      <c r="B5" s="15"/>
      <c r="C5" s="13"/>
      <c r="D5" s="13"/>
      <c r="E5" s="13"/>
      <c r="F5" s="13"/>
      <c r="G5" s="12"/>
      <c r="H5" s="15"/>
      <c r="I5" s="14" t="str">
        <f aca="true">IF(OR(B5="",D5=""),"",IF(H5="",TODAY()-B5,H5-B5))</f>
        <v/>
      </c>
      <c r="J5" s="13"/>
    </row>
    <row r="6" customFormat="false" ht="15" hidden="false" customHeight="false" outlineLevel="0" collapsed="false">
      <c r="A6" s="14" t="str">
        <f aca="false">IF(D6="","",ROW()-4)</f>
        <v/>
      </c>
      <c r="B6" s="15"/>
      <c r="C6" s="13"/>
      <c r="D6" s="13"/>
      <c r="E6" s="13"/>
      <c r="F6" s="13"/>
      <c r="G6" s="12"/>
      <c r="H6" s="15"/>
      <c r="I6" s="14" t="str">
        <f aca="true">IF(OR(B6="",D6=""),"",IF(H6="",TODAY()-B6,H6-B6))</f>
        <v/>
      </c>
      <c r="J6" s="13"/>
    </row>
    <row r="7" customFormat="false" ht="15" hidden="false" customHeight="false" outlineLevel="0" collapsed="false">
      <c r="A7" s="14" t="str">
        <f aca="false">IF(D7="","",ROW()-4)</f>
        <v/>
      </c>
      <c r="B7" s="15"/>
      <c r="C7" s="13"/>
      <c r="D7" s="13"/>
      <c r="E7" s="13"/>
      <c r="F7" s="13"/>
      <c r="G7" s="12"/>
      <c r="H7" s="15"/>
      <c r="I7" s="14" t="str">
        <f aca="true">IF(OR(B7="",D7=""),"",IF(H7="",TODAY()-B7,H7-B7))</f>
        <v/>
      </c>
      <c r="J7" s="13"/>
    </row>
    <row r="8" customFormat="false" ht="15" hidden="false" customHeight="false" outlineLevel="0" collapsed="false">
      <c r="A8" s="14" t="str">
        <f aca="false">IF(D8="","",ROW()-4)</f>
        <v/>
      </c>
      <c r="B8" s="15"/>
      <c r="C8" s="13"/>
      <c r="D8" s="13"/>
      <c r="E8" s="13"/>
      <c r="F8" s="13"/>
      <c r="G8" s="12"/>
      <c r="H8" s="15"/>
      <c r="I8" s="14" t="str">
        <f aca="true">IF(OR(B8="",D8=""),"",IF(H8="",TODAY()-B8,H8-B8))</f>
        <v/>
      </c>
      <c r="J8" s="13"/>
    </row>
    <row r="9" customFormat="false" ht="15" hidden="false" customHeight="false" outlineLevel="0" collapsed="false">
      <c r="A9" s="14" t="str">
        <f aca="false">IF(D9="","",ROW()-4)</f>
        <v/>
      </c>
      <c r="B9" s="15"/>
      <c r="C9" s="13"/>
      <c r="D9" s="13"/>
      <c r="E9" s="13"/>
      <c r="F9" s="13"/>
      <c r="G9" s="12"/>
      <c r="H9" s="15"/>
      <c r="I9" s="14" t="str">
        <f aca="true">IF(OR(B9="",D9=""),"",IF(H9="",TODAY()-B9,H9-B9))</f>
        <v/>
      </c>
      <c r="J9" s="13"/>
    </row>
    <row r="10" customFormat="false" ht="15" hidden="false" customHeight="false" outlineLevel="0" collapsed="false">
      <c r="A10" s="14" t="str">
        <f aca="false">IF(D10="","",ROW()-4)</f>
        <v/>
      </c>
      <c r="B10" s="15"/>
      <c r="C10" s="13"/>
      <c r="D10" s="13"/>
      <c r="E10" s="13"/>
      <c r="F10" s="13"/>
      <c r="G10" s="12"/>
      <c r="H10" s="15"/>
      <c r="I10" s="14" t="str">
        <f aca="true">IF(OR(B10="",D10=""),"",IF(H10="",TODAY()-B10,H10-B10))</f>
        <v/>
      </c>
      <c r="J10" s="13"/>
    </row>
    <row r="11" customFormat="false" ht="15" hidden="false" customHeight="false" outlineLevel="0" collapsed="false">
      <c r="A11" s="14" t="str">
        <f aca="false">IF(D11="","",ROW()-4)</f>
        <v/>
      </c>
      <c r="B11" s="15"/>
      <c r="C11" s="13"/>
      <c r="D11" s="13"/>
      <c r="E11" s="13"/>
      <c r="F11" s="13"/>
      <c r="G11" s="12"/>
      <c r="H11" s="15"/>
      <c r="I11" s="14" t="str">
        <f aca="true">IF(OR(B11="",D11=""),"",IF(H11="",TODAY()-B11,H11-B11))</f>
        <v/>
      </c>
      <c r="J11" s="13"/>
    </row>
    <row r="12" customFormat="false" ht="15" hidden="false" customHeight="false" outlineLevel="0" collapsed="false">
      <c r="A12" s="14" t="str">
        <f aca="false">IF(D12="","",ROW()-4)</f>
        <v/>
      </c>
      <c r="B12" s="15"/>
      <c r="C12" s="13"/>
      <c r="D12" s="13"/>
      <c r="E12" s="13"/>
      <c r="F12" s="13"/>
      <c r="G12" s="12"/>
      <c r="H12" s="15"/>
      <c r="I12" s="14" t="str">
        <f aca="true">IF(OR(B12="",D12=""),"",IF(H12="",TODAY()-B12,H12-B12))</f>
        <v/>
      </c>
      <c r="J12" s="13"/>
    </row>
    <row r="13" customFormat="false" ht="15" hidden="false" customHeight="false" outlineLevel="0" collapsed="false">
      <c r="A13" s="14" t="str">
        <f aca="false">IF(D13="","",ROW()-4)</f>
        <v/>
      </c>
      <c r="B13" s="15"/>
      <c r="C13" s="13"/>
      <c r="D13" s="13"/>
      <c r="E13" s="13"/>
      <c r="F13" s="13"/>
      <c r="G13" s="12"/>
      <c r="H13" s="15"/>
      <c r="I13" s="14" t="str">
        <f aca="true">IF(OR(B13="",D13=""),"",IF(H13="",TODAY()-B13,H13-B13))</f>
        <v/>
      </c>
      <c r="J13" s="13"/>
    </row>
    <row r="14" customFormat="false" ht="15" hidden="false" customHeight="false" outlineLevel="0" collapsed="false">
      <c r="A14" s="14" t="str">
        <f aca="false">IF(D14="","",ROW()-4)</f>
        <v/>
      </c>
      <c r="B14" s="15"/>
      <c r="C14" s="13"/>
      <c r="D14" s="13"/>
      <c r="E14" s="13"/>
      <c r="F14" s="13"/>
      <c r="G14" s="12"/>
      <c r="H14" s="15"/>
      <c r="I14" s="14" t="str">
        <f aca="true">IF(OR(B14="",D14=""),"",IF(H14="",TODAY()-B14,H14-B14))</f>
        <v/>
      </c>
      <c r="J14" s="13"/>
    </row>
    <row r="15" customFormat="false" ht="15" hidden="false" customHeight="false" outlineLevel="0" collapsed="false">
      <c r="A15" s="14" t="str">
        <f aca="false">IF(D15="","",ROW()-4)</f>
        <v/>
      </c>
      <c r="B15" s="15"/>
      <c r="C15" s="13"/>
      <c r="D15" s="13"/>
      <c r="E15" s="13"/>
      <c r="F15" s="13"/>
      <c r="G15" s="12"/>
      <c r="H15" s="15"/>
      <c r="I15" s="14" t="str">
        <f aca="true">IF(OR(B15="",D15=""),"",IF(H15="",TODAY()-B15,H15-B15))</f>
        <v/>
      </c>
      <c r="J15" s="13"/>
    </row>
    <row r="16" customFormat="false" ht="15" hidden="false" customHeight="false" outlineLevel="0" collapsed="false">
      <c r="A16" s="14" t="str">
        <f aca="false">IF(D16="","",ROW()-4)</f>
        <v/>
      </c>
      <c r="B16" s="15"/>
      <c r="C16" s="13"/>
      <c r="D16" s="13"/>
      <c r="E16" s="13"/>
      <c r="F16" s="13"/>
      <c r="G16" s="12"/>
      <c r="H16" s="15"/>
      <c r="I16" s="14" t="str">
        <f aca="true">IF(OR(B16="",D16=""),"",IF(H16="",TODAY()-B16,H16-B16))</f>
        <v/>
      </c>
      <c r="J16" s="13"/>
    </row>
    <row r="17" customFormat="false" ht="15" hidden="false" customHeight="false" outlineLevel="0" collapsed="false">
      <c r="A17" s="14" t="str">
        <f aca="false">IF(D17="","",ROW()-4)</f>
        <v/>
      </c>
      <c r="B17" s="15"/>
      <c r="C17" s="13"/>
      <c r="D17" s="13"/>
      <c r="E17" s="13"/>
      <c r="F17" s="13"/>
      <c r="G17" s="12"/>
      <c r="H17" s="15"/>
      <c r="I17" s="14" t="str">
        <f aca="true">IF(OR(B17="",D17=""),"",IF(H17="",TODAY()-B17,H17-B17))</f>
        <v/>
      </c>
      <c r="J17" s="13"/>
    </row>
    <row r="18" customFormat="false" ht="15" hidden="false" customHeight="false" outlineLevel="0" collapsed="false">
      <c r="A18" s="14" t="str">
        <f aca="false">IF(D18="","",ROW()-4)</f>
        <v/>
      </c>
      <c r="B18" s="15"/>
      <c r="C18" s="13"/>
      <c r="D18" s="13"/>
      <c r="E18" s="13"/>
      <c r="F18" s="13"/>
      <c r="G18" s="12"/>
      <c r="H18" s="15"/>
      <c r="I18" s="14" t="str">
        <f aca="true">IF(OR(B18="",D18=""),"",IF(H18="",TODAY()-B18,H18-B18))</f>
        <v/>
      </c>
      <c r="J18" s="13"/>
    </row>
    <row r="19" customFormat="false" ht="15" hidden="false" customHeight="false" outlineLevel="0" collapsed="false">
      <c r="A19" s="14" t="str">
        <f aca="false">IF(D19="","",ROW()-4)</f>
        <v/>
      </c>
      <c r="B19" s="15"/>
      <c r="C19" s="13"/>
      <c r="D19" s="13"/>
      <c r="E19" s="13"/>
      <c r="F19" s="13"/>
      <c r="G19" s="12"/>
      <c r="H19" s="15"/>
      <c r="I19" s="14" t="str">
        <f aca="true">IF(OR(B19="",D19=""),"",IF(H19="",TODAY()-B19,H19-B19))</f>
        <v/>
      </c>
      <c r="J19" s="13"/>
    </row>
    <row r="20" customFormat="false" ht="15" hidden="false" customHeight="false" outlineLevel="0" collapsed="false">
      <c r="A20" s="14" t="str">
        <f aca="false">IF(D20="","",ROW()-4)</f>
        <v/>
      </c>
      <c r="B20" s="15"/>
      <c r="C20" s="13"/>
      <c r="D20" s="13"/>
      <c r="E20" s="13"/>
      <c r="F20" s="13"/>
      <c r="G20" s="12"/>
      <c r="H20" s="15"/>
      <c r="I20" s="14" t="str">
        <f aca="true">IF(OR(B20="",D20=""),"",IF(H20="",TODAY()-B20,H20-B20))</f>
        <v/>
      </c>
      <c r="J20" s="13"/>
    </row>
    <row r="21" customFormat="false" ht="15" hidden="false" customHeight="false" outlineLevel="0" collapsed="false">
      <c r="A21" s="14" t="str">
        <f aca="false">IF(D21="","",ROW()-4)</f>
        <v/>
      </c>
      <c r="B21" s="15"/>
      <c r="C21" s="13"/>
      <c r="D21" s="13"/>
      <c r="E21" s="13"/>
      <c r="F21" s="13"/>
      <c r="G21" s="12"/>
      <c r="H21" s="15"/>
      <c r="I21" s="14" t="str">
        <f aca="true">IF(OR(B21="",D21=""),"",IF(H21="",TODAY()-B21,H21-B21))</f>
        <v/>
      </c>
      <c r="J21" s="13"/>
    </row>
    <row r="22" customFormat="false" ht="15" hidden="false" customHeight="false" outlineLevel="0" collapsed="false">
      <c r="A22" s="14" t="str">
        <f aca="false">IF(D22="","",ROW()-4)</f>
        <v/>
      </c>
      <c r="B22" s="15"/>
      <c r="C22" s="13"/>
      <c r="D22" s="13"/>
      <c r="E22" s="13"/>
      <c r="F22" s="13"/>
      <c r="G22" s="12"/>
      <c r="H22" s="15"/>
      <c r="I22" s="14" t="str">
        <f aca="true">IF(OR(B22="",D22=""),"",IF(H22="",TODAY()-B22,H22-B22))</f>
        <v/>
      </c>
      <c r="J22" s="13"/>
    </row>
    <row r="23" customFormat="false" ht="15" hidden="false" customHeight="false" outlineLevel="0" collapsed="false">
      <c r="A23" s="14" t="str">
        <f aca="false">IF(D23="","",ROW()-4)</f>
        <v/>
      </c>
      <c r="B23" s="15"/>
      <c r="C23" s="13"/>
      <c r="D23" s="13"/>
      <c r="E23" s="13"/>
      <c r="F23" s="13"/>
      <c r="G23" s="12"/>
      <c r="H23" s="15"/>
      <c r="I23" s="14" t="str">
        <f aca="true">IF(OR(B23="",D23=""),"",IF(H23="",TODAY()-B23,H23-B23))</f>
        <v/>
      </c>
      <c r="J23" s="13"/>
    </row>
    <row r="24" customFormat="false" ht="15" hidden="false" customHeight="false" outlineLevel="0" collapsed="false">
      <c r="A24" s="14" t="str">
        <f aca="false">IF(D24="","",ROW()-4)</f>
        <v/>
      </c>
      <c r="B24" s="15"/>
      <c r="C24" s="13"/>
      <c r="D24" s="13"/>
      <c r="E24" s="13"/>
      <c r="F24" s="13"/>
      <c r="G24" s="12"/>
      <c r="H24" s="15"/>
      <c r="I24" s="14" t="str">
        <f aca="true">IF(OR(B24="",D24=""),"",IF(H24="",TODAY()-B24,H24-B24))</f>
        <v/>
      </c>
      <c r="J24" s="13"/>
    </row>
    <row r="25" customFormat="false" ht="15" hidden="false" customHeight="false" outlineLevel="0" collapsed="false">
      <c r="A25" s="14" t="str">
        <f aca="false">IF(D25="","",ROW()-4)</f>
        <v/>
      </c>
      <c r="B25" s="15"/>
      <c r="C25" s="13"/>
      <c r="D25" s="13"/>
      <c r="E25" s="13"/>
      <c r="F25" s="13"/>
      <c r="G25" s="12"/>
      <c r="H25" s="15"/>
      <c r="I25" s="14" t="str">
        <f aca="true">IF(OR(B25="",D25=""),"",IF(H25="",TODAY()-B25,H25-B25))</f>
        <v/>
      </c>
      <c r="J25" s="13"/>
    </row>
    <row r="26" customFormat="false" ht="15" hidden="false" customHeight="false" outlineLevel="0" collapsed="false">
      <c r="A26" s="14" t="str">
        <f aca="false">IF(D26="","",ROW()-4)</f>
        <v/>
      </c>
      <c r="B26" s="15"/>
      <c r="C26" s="13"/>
      <c r="D26" s="13"/>
      <c r="E26" s="13"/>
      <c r="F26" s="13"/>
      <c r="G26" s="12"/>
      <c r="H26" s="15"/>
      <c r="I26" s="14" t="str">
        <f aca="true">IF(OR(B26="",D26=""),"",IF(H26="",TODAY()-B26,H26-B26))</f>
        <v/>
      </c>
      <c r="J26" s="13"/>
    </row>
    <row r="27" customFormat="false" ht="15" hidden="false" customHeight="false" outlineLevel="0" collapsed="false">
      <c r="A27" s="14" t="str">
        <f aca="false">IF(D27="","",ROW()-4)</f>
        <v/>
      </c>
      <c r="B27" s="15"/>
      <c r="C27" s="13"/>
      <c r="D27" s="13"/>
      <c r="E27" s="13"/>
      <c r="F27" s="13"/>
      <c r="G27" s="12"/>
      <c r="H27" s="15"/>
      <c r="I27" s="14" t="str">
        <f aca="true">IF(OR(B27="",D27=""),"",IF(H27="",TODAY()-B27,H27-B27))</f>
        <v/>
      </c>
      <c r="J27" s="13"/>
    </row>
    <row r="28" customFormat="false" ht="15" hidden="false" customHeight="false" outlineLevel="0" collapsed="false">
      <c r="A28" s="14" t="str">
        <f aca="false">IF(D28="","",ROW()-4)</f>
        <v/>
      </c>
      <c r="B28" s="15"/>
      <c r="C28" s="13"/>
      <c r="D28" s="13"/>
      <c r="E28" s="13"/>
      <c r="F28" s="13"/>
      <c r="G28" s="12"/>
      <c r="H28" s="15"/>
      <c r="I28" s="14" t="str">
        <f aca="true">IF(OR(B28="",D28=""),"",IF(H28="",TODAY()-B28,H28-B28))</f>
        <v/>
      </c>
      <c r="J28" s="13"/>
    </row>
    <row r="29" customFormat="false" ht="15" hidden="false" customHeight="false" outlineLevel="0" collapsed="false">
      <c r="A29" s="14" t="str">
        <f aca="false">IF(D29="","",ROW()-4)</f>
        <v/>
      </c>
      <c r="B29" s="15"/>
      <c r="C29" s="13"/>
      <c r="D29" s="13"/>
      <c r="E29" s="13"/>
      <c r="F29" s="13"/>
      <c r="G29" s="12"/>
      <c r="H29" s="15"/>
      <c r="I29" s="14" t="str">
        <f aca="true">IF(OR(B29="",D29=""),"",IF(H29="",TODAY()-B29,H29-B29))</f>
        <v/>
      </c>
      <c r="J29" s="13"/>
    </row>
    <row r="30" customFormat="false" ht="15" hidden="false" customHeight="false" outlineLevel="0" collapsed="false">
      <c r="A30" s="14" t="str">
        <f aca="false">IF(D30="","",ROW()-4)</f>
        <v/>
      </c>
      <c r="B30" s="15"/>
      <c r="C30" s="13"/>
      <c r="D30" s="13"/>
      <c r="E30" s="13"/>
      <c r="F30" s="13"/>
      <c r="G30" s="12"/>
      <c r="H30" s="15"/>
      <c r="I30" s="14" t="str">
        <f aca="true">IF(OR(B30="",D30=""),"",IF(H30="",TODAY()-B30,H30-B30))</f>
        <v/>
      </c>
      <c r="J30" s="13"/>
    </row>
    <row r="31" customFormat="false" ht="15" hidden="false" customHeight="false" outlineLevel="0" collapsed="false">
      <c r="A31" s="14" t="str">
        <f aca="false">IF(D31="","",ROW()-4)</f>
        <v/>
      </c>
      <c r="B31" s="15"/>
      <c r="C31" s="13"/>
      <c r="D31" s="13"/>
      <c r="E31" s="13"/>
      <c r="F31" s="13"/>
      <c r="G31" s="12"/>
      <c r="H31" s="15"/>
      <c r="I31" s="14" t="str">
        <f aca="true">IF(OR(B31="",D31=""),"",IF(H31="",TODAY()-B31,H31-B31))</f>
        <v/>
      </c>
      <c r="J31" s="13"/>
    </row>
    <row r="32" customFormat="false" ht="15" hidden="false" customHeight="false" outlineLevel="0" collapsed="false">
      <c r="A32" s="14" t="str">
        <f aca="false">IF(D32="","",ROW()-4)</f>
        <v/>
      </c>
      <c r="B32" s="15"/>
      <c r="C32" s="13"/>
      <c r="D32" s="13"/>
      <c r="E32" s="13"/>
      <c r="F32" s="13"/>
      <c r="G32" s="12"/>
      <c r="H32" s="15"/>
      <c r="I32" s="14" t="str">
        <f aca="true">IF(OR(B32="",D32=""),"",IF(H32="",TODAY()-B32,H32-B32))</f>
        <v/>
      </c>
      <c r="J32" s="13"/>
    </row>
    <row r="33" customFormat="false" ht="15" hidden="false" customHeight="false" outlineLevel="0" collapsed="false">
      <c r="A33" s="14" t="str">
        <f aca="false">IF(D33="","",ROW()-4)</f>
        <v/>
      </c>
      <c r="B33" s="15"/>
      <c r="C33" s="13"/>
      <c r="D33" s="13"/>
      <c r="E33" s="13"/>
      <c r="F33" s="13"/>
      <c r="G33" s="12"/>
      <c r="H33" s="15"/>
      <c r="I33" s="14" t="str">
        <f aca="true">IF(OR(B33="",D33=""),"",IF(H33="",TODAY()-B33,H33-B33))</f>
        <v/>
      </c>
      <c r="J33" s="13"/>
    </row>
    <row r="34" customFormat="false" ht="15" hidden="false" customHeight="false" outlineLevel="0" collapsed="false">
      <c r="A34" s="14" t="str">
        <f aca="false">IF(D34="","",ROW()-4)</f>
        <v/>
      </c>
      <c r="B34" s="15"/>
      <c r="C34" s="13"/>
      <c r="D34" s="13"/>
      <c r="E34" s="13"/>
      <c r="F34" s="13"/>
      <c r="G34" s="12"/>
      <c r="H34" s="15"/>
      <c r="I34" s="14" t="str">
        <f aca="true">IF(OR(B34="",D34=""),"",IF(H34="",TODAY()-B34,H34-B34))</f>
        <v/>
      </c>
      <c r="J34" s="13"/>
    </row>
    <row r="35" customFormat="false" ht="15" hidden="false" customHeight="false" outlineLevel="0" collapsed="false">
      <c r="A35" s="14" t="str">
        <f aca="false">IF(D35="","",ROW()-4)</f>
        <v/>
      </c>
      <c r="B35" s="15"/>
      <c r="C35" s="13"/>
      <c r="D35" s="13"/>
      <c r="E35" s="13"/>
      <c r="F35" s="13"/>
      <c r="G35" s="12"/>
      <c r="H35" s="15"/>
      <c r="I35" s="14" t="str">
        <f aca="true">IF(OR(B35="",D35=""),"",IF(H35="",TODAY()-B35,H35-B35))</f>
        <v/>
      </c>
      <c r="J35" s="13"/>
    </row>
    <row r="36" customFormat="false" ht="15" hidden="false" customHeight="false" outlineLevel="0" collapsed="false">
      <c r="A36" s="14" t="str">
        <f aca="false">IF(D36="","",ROW()-4)</f>
        <v/>
      </c>
      <c r="B36" s="15"/>
      <c r="C36" s="13"/>
      <c r="D36" s="13"/>
      <c r="E36" s="13"/>
      <c r="F36" s="13"/>
      <c r="G36" s="12"/>
      <c r="H36" s="15"/>
      <c r="I36" s="14" t="str">
        <f aca="true">IF(OR(B36="",D36=""),"",IF(H36="",TODAY()-B36,H36-B36))</f>
        <v/>
      </c>
      <c r="J36" s="13"/>
    </row>
    <row r="37" customFormat="false" ht="15" hidden="false" customHeight="false" outlineLevel="0" collapsed="false">
      <c r="A37" s="14" t="str">
        <f aca="false">IF(D37="","",ROW()-4)</f>
        <v/>
      </c>
      <c r="B37" s="15"/>
      <c r="C37" s="13"/>
      <c r="D37" s="13"/>
      <c r="E37" s="13"/>
      <c r="F37" s="13"/>
      <c r="G37" s="12"/>
      <c r="H37" s="15"/>
      <c r="I37" s="14" t="str">
        <f aca="true">IF(OR(B37="",D37=""),"",IF(H37="",TODAY()-B37,H37-B37))</f>
        <v/>
      </c>
      <c r="J37" s="13"/>
    </row>
    <row r="38" customFormat="false" ht="15" hidden="false" customHeight="false" outlineLevel="0" collapsed="false">
      <c r="A38" s="14" t="str">
        <f aca="false">IF(D38="","",ROW()-4)</f>
        <v/>
      </c>
      <c r="B38" s="15"/>
      <c r="C38" s="13"/>
      <c r="D38" s="13"/>
      <c r="E38" s="13"/>
      <c r="F38" s="13"/>
      <c r="G38" s="12"/>
      <c r="H38" s="15"/>
      <c r="I38" s="14" t="str">
        <f aca="true">IF(OR(B38="",D38=""),"",IF(H38="",TODAY()-B38,H38-B38))</f>
        <v/>
      </c>
      <c r="J38" s="13"/>
    </row>
    <row r="39" customFormat="false" ht="15" hidden="false" customHeight="false" outlineLevel="0" collapsed="false">
      <c r="A39" s="14" t="str">
        <f aca="false">IF(D39="","",ROW()-4)</f>
        <v/>
      </c>
      <c r="B39" s="15"/>
      <c r="C39" s="13"/>
      <c r="D39" s="13"/>
      <c r="E39" s="13"/>
      <c r="F39" s="13"/>
      <c r="G39" s="12"/>
      <c r="H39" s="15"/>
      <c r="I39" s="14" t="str">
        <f aca="true">IF(OR(B39="",D39=""),"",IF(H39="",TODAY()-B39,H39-B39))</f>
        <v/>
      </c>
      <c r="J39" s="13"/>
    </row>
    <row r="40" customFormat="false" ht="15" hidden="false" customHeight="false" outlineLevel="0" collapsed="false">
      <c r="A40" s="14" t="str">
        <f aca="false">IF(D40="","",ROW()-4)</f>
        <v/>
      </c>
      <c r="B40" s="15"/>
      <c r="C40" s="13"/>
      <c r="D40" s="13"/>
      <c r="E40" s="13"/>
      <c r="F40" s="13"/>
      <c r="G40" s="12"/>
      <c r="H40" s="15"/>
      <c r="I40" s="14" t="str">
        <f aca="true">IF(OR(B40="",D40=""),"",IF(H40="",TODAY()-B40,H40-B40))</f>
        <v/>
      </c>
      <c r="J40" s="13"/>
    </row>
    <row r="41" customFormat="false" ht="15" hidden="false" customHeight="false" outlineLevel="0" collapsed="false">
      <c r="A41" s="14" t="str">
        <f aca="false">IF(D41="","",ROW()-4)</f>
        <v/>
      </c>
      <c r="B41" s="15"/>
      <c r="C41" s="13"/>
      <c r="D41" s="13"/>
      <c r="E41" s="13"/>
      <c r="F41" s="13"/>
      <c r="G41" s="12"/>
      <c r="H41" s="15"/>
      <c r="I41" s="14" t="str">
        <f aca="true">IF(OR(B41="",D41=""),"",IF(H41="",TODAY()-B41,H41-B41))</f>
        <v/>
      </c>
      <c r="J41" s="13"/>
    </row>
    <row r="42" customFormat="false" ht="15" hidden="false" customHeight="false" outlineLevel="0" collapsed="false">
      <c r="A42" s="14" t="str">
        <f aca="false">IF(D42="","",ROW()-4)</f>
        <v/>
      </c>
      <c r="B42" s="15"/>
      <c r="C42" s="13"/>
      <c r="D42" s="13"/>
      <c r="E42" s="13"/>
      <c r="F42" s="13"/>
      <c r="G42" s="12"/>
      <c r="H42" s="15"/>
      <c r="I42" s="14" t="str">
        <f aca="true">IF(OR(B42="",D42=""),"",IF(H42="",TODAY()-B42,H42-B42))</f>
        <v/>
      </c>
      <c r="J42" s="13"/>
    </row>
    <row r="43" customFormat="false" ht="15" hidden="false" customHeight="false" outlineLevel="0" collapsed="false">
      <c r="A43" s="14" t="str">
        <f aca="false">IF(D43="","",ROW()-4)</f>
        <v/>
      </c>
      <c r="B43" s="15"/>
      <c r="C43" s="13"/>
      <c r="D43" s="13"/>
      <c r="E43" s="13"/>
      <c r="F43" s="13"/>
      <c r="G43" s="12"/>
      <c r="H43" s="15"/>
      <c r="I43" s="14" t="str">
        <f aca="true">IF(OR(B43="",D43=""),"",IF(H43="",TODAY()-B43,H43-B43))</f>
        <v/>
      </c>
      <c r="J43" s="13"/>
    </row>
    <row r="44" customFormat="false" ht="15" hidden="false" customHeight="false" outlineLevel="0" collapsed="false">
      <c r="A44" s="14" t="str">
        <f aca="false">IF(D44="","",ROW()-4)</f>
        <v/>
      </c>
      <c r="B44" s="15"/>
      <c r="C44" s="13"/>
      <c r="D44" s="13"/>
      <c r="E44" s="13"/>
      <c r="F44" s="13"/>
      <c r="G44" s="12"/>
      <c r="H44" s="15"/>
      <c r="I44" s="14" t="str">
        <f aca="true">IF(OR(B44="",D44=""),"",IF(H44="",TODAY()-B44,H44-B44))</f>
        <v/>
      </c>
      <c r="J44" s="13"/>
    </row>
    <row r="45" customFormat="false" ht="15" hidden="false" customHeight="false" outlineLevel="0" collapsed="false">
      <c r="A45" s="14" t="str">
        <f aca="false">IF(D45="","",ROW()-4)</f>
        <v/>
      </c>
      <c r="B45" s="15"/>
      <c r="C45" s="13"/>
      <c r="D45" s="13"/>
      <c r="E45" s="13"/>
      <c r="F45" s="13"/>
      <c r="G45" s="12"/>
      <c r="H45" s="15"/>
      <c r="I45" s="14" t="str">
        <f aca="true">IF(OR(B45="",D45=""),"",IF(H45="",TODAY()-B45,H45-B45))</f>
        <v/>
      </c>
      <c r="J45" s="13"/>
    </row>
    <row r="46" customFormat="false" ht="15" hidden="false" customHeight="false" outlineLevel="0" collapsed="false">
      <c r="A46" s="14" t="str">
        <f aca="false">IF(D46="","",ROW()-4)</f>
        <v/>
      </c>
      <c r="B46" s="15"/>
      <c r="C46" s="13"/>
      <c r="D46" s="13"/>
      <c r="E46" s="13"/>
      <c r="F46" s="13"/>
      <c r="G46" s="12"/>
      <c r="H46" s="15"/>
      <c r="I46" s="14" t="str">
        <f aca="true">IF(OR(B46="",D46=""),"",IF(H46="",TODAY()-B46,H46-B46))</f>
        <v/>
      </c>
      <c r="J46" s="13"/>
    </row>
    <row r="47" customFormat="false" ht="15" hidden="false" customHeight="false" outlineLevel="0" collapsed="false">
      <c r="A47" s="14" t="str">
        <f aca="false">IF(D47="","",ROW()-4)</f>
        <v/>
      </c>
      <c r="B47" s="15"/>
      <c r="C47" s="13"/>
      <c r="D47" s="13"/>
      <c r="E47" s="13"/>
      <c r="F47" s="13"/>
      <c r="G47" s="12"/>
      <c r="H47" s="15"/>
      <c r="I47" s="14" t="str">
        <f aca="true">IF(OR(B47="",D47=""),"",IF(H47="",TODAY()-B47,H47-B47))</f>
        <v/>
      </c>
      <c r="J47" s="13"/>
    </row>
    <row r="48" customFormat="false" ht="15" hidden="false" customHeight="false" outlineLevel="0" collapsed="false">
      <c r="A48" s="14" t="str">
        <f aca="false">IF(D48="","",ROW()-4)</f>
        <v/>
      </c>
      <c r="B48" s="15"/>
      <c r="C48" s="13"/>
      <c r="D48" s="13"/>
      <c r="E48" s="13"/>
      <c r="F48" s="13"/>
      <c r="G48" s="12"/>
      <c r="H48" s="15"/>
      <c r="I48" s="14" t="str">
        <f aca="true">IF(OR(B48="",D48=""),"",IF(H48="",TODAY()-B48,H48-B48))</f>
        <v/>
      </c>
      <c r="J48" s="13"/>
    </row>
    <row r="49" customFormat="false" ht="15" hidden="false" customHeight="false" outlineLevel="0" collapsed="false">
      <c r="A49" s="14" t="str">
        <f aca="false">IF(D49="","",ROW()-4)</f>
        <v/>
      </c>
      <c r="B49" s="15"/>
      <c r="C49" s="13"/>
      <c r="D49" s="13"/>
      <c r="E49" s="13"/>
      <c r="F49" s="13"/>
      <c r="G49" s="12"/>
      <c r="H49" s="15"/>
      <c r="I49" s="14" t="str">
        <f aca="true">IF(OR(B49="",D49=""),"",IF(H49="",TODAY()-B49,H49-B49))</f>
        <v/>
      </c>
      <c r="J49" s="13"/>
    </row>
    <row r="50" customFormat="false" ht="15" hidden="false" customHeight="false" outlineLevel="0" collapsed="false">
      <c r="A50" s="14" t="str">
        <f aca="false">IF(D50="","",ROW()-4)</f>
        <v/>
      </c>
      <c r="B50" s="15"/>
      <c r="C50" s="13"/>
      <c r="D50" s="13"/>
      <c r="E50" s="13"/>
      <c r="F50" s="13"/>
      <c r="G50" s="12"/>
      <c r="H50" s="15"/>
      <c r="I50" s="14" t="str">
        <f aca="true">IF(OR(B50="",D50=""),"",IF(H50="",TODAY()-B50,H50-B50))</f>
        <v/>
      </c>
      <c r="J50" s="13"/>
    </row>
    <row r="51" customFormat="false" ht="15" hidden="false" customHeight="false" outlineLevel="0" collapsed="false">
      <c r="A51" s="14" t="str">
        <f aca="false">IF(D51="","",ROW()-4)</f>
        <v/>
      </c>
      <c r="B51" s="15"/>
      <c r="C51" s="13"/>
      <c r="D51" s="13"/>
      <c r="E51" s="13"/>
      <c r="F51" s="13"/>
      <c r="G51" s="12"/>
      <c r="H51" s="15"/>
      <c r="I51" s="14" t="str">
        <f aca="true">IF(OR(B51="",D51=""),"",IF(H51="",TODAY()-B51,H51-B51))</f>
        <v/>
      </c>
      <c r="J51" s="13"/>
    </row>
    <row r="52" customFormat="false" ht="15" hidden="false" customHeight="false" outlineLevel="0" collapsed="false">
      <c r="A52" s="14" t="str">
        <f aca="false">IF(D52="","",ROW()-4)</f>
        <v/>
      </c>
      <c r="B52" s="15"/>
      <c r="C52" s="13"/>
      <c r="D52" s="13"/>
      <c r="E52" s="13"/>
      <c r="F52" s="13"/>
      <c r="G52" s="12"/>
      <c r="H52" s="15"/>
      <c r="I52" s="14" t="str">
        <f aca="true">IF(OR(B52="",D52=""),"",IF(H52="",TODAY()-B52,H52-B52))</f>
        <v/>
      </c>
      <c r="J52" s="13"/>
    </row>
    <row r="53" customFormat="false" ht="15" hidden="false" customHeight="false" outlineLevel="0" collapsed="false">
      <c r="A53" s="14" t="str">
        <f aca="false">IF(D53="","",ROW()-4)</f>
        <v/>
      </c>
      <c r="B53" s="15"/>
      <c r="C53" s="13"/>
      <c r="D53" s="13"/>
      <c r="E53" s="13"/>
      <c r="F53" s="13"/>
      <c r="G53" s="12"/>
      <c r="H53" s="15"/>
      <c r="I53" s="14" t="str">
        <f aca="true">IF(OR(B53="",D53=""),"",IF(H53="",TODAY()-B53,H53-B53))</f>
        <v/>
      </c>
      <c r="J53" s="13"/>
    </row>
    <row r="54" customFormat="false" ht="15" hidden="false" customHeight="false" outlineLevel="0" collapsed="false">
      <c r="A54" s="14" t="str">
        <f aca="false">IF(D54="","",ROW()-4)</f>
        <v/>
      </c>
      <c r="B54" s="15"/>
      <c r="C54" s="13"/>
      <c r="D54" s="13"/>
      <c r="E54" s="13"/>
      <c r="F54" s="13"/>
      <c r="G54" s="12"/>
      <c r="H54" s="15"/>
      <c r="I54" s="14" t="str">
        <f aca="true">IF(OR(B54="",D54=""),"",IF(H54="",TODAY()-B54,H54-B54))</f>
        <v/>
      </c>
      <c r="J54" s="13"/>
    </row>
    <row r="55" customFormat="false" ht="15" hidden="false" customHeight="false" outlineLevel="0" collapsed="false">
      <c r="A55" s="14" t="str">
        <f aca="false">IF(D55="","",ROW()-4)</f>
        <v/>
      </c>
      <c r="B55" s="15"/>
      <c r="C55" s="13"/>
      <c r="D55" s="13"/>
      <c r="E55" s="13"/>
      <c r="F55" s="13"/>
      <c r="G55" s="12"/>
      <c r="H55" s="15"/>
      <c r="I55" s="14" t="str">
        <f aca="true">IF(OR(B55="",D55=""),"",IF(H55="",TODAY()-B55,H55-B55))</f>
        <v/>
      </c>
      <c r="J55" s="13"/>
    </row>
    <row r="56" customFormat="false" ht="15" hidden="false" customHeight="false" outlineLevel="0" collapsed="false">
      <c r="A56" s="14" t="str">
        <f aca="false">IF(D56="","",ROW()-4)</f>
        <v/>
      </c>
      <c r="B56" s="15"/>
      <c r="C56" s="13"/>
      <c r="D56" s="13"/>
      <c r="E56" s="13"/>
      <c r="F56" s="13"/>
      <c r="G56" s="12"/>
      <c r="H56" s="15"/>
      <c r="I56" s="14" t="str">
        <f aca="true">IF(OR(B56="",D56=""),"",IF(H56="",TODAY()-B56,H56-B56))</f>
        <v/>
      </c>
      <c r="J56" s="13"/>
    </row>
    <row r="57" customFormat="false" ht="15" hidden="false" customHeight="false" outlineLevel="0" collapsed="false">
      <c r="A57" s="14" t="str">
        <f aca="false">IF(D57="","",ROW()-4)</f>
        <v/>
      </c>
      <c r="B57" s="15"/>
      <c r="C57" s="13"/>
      <c r="D57" s="13"/>
      <c r="E57" s="13"/>
      <c r="F57" s="13"/>
      <c r="G57" s="12"/>
      <c r="H57" s="15"/>
      <c r="I57" s="14" t="str">
        <f aca="true">IF(OR(B57="",D57=""),"",IF(H57="",TODAY()-B57,H57-B57))</f>
        <v/>
      </c>
      <c r="J57" s="13"/>
    </row>
    <row r="58" customFormat="false" ht="15" hidden="false" customHeight="false" outlineLevel="0" collapsed="false">
      <c r="A58" s="14" t="str">
        <f aca="false">IF(D58="","",ROW()-4)</f>
        <v/>
      </c>
      <c r="B58" s="15"/>
      <c r="C58" s="13"/>
      <c r="D58" s="13"/>
      <c r="E58" s="13"/>
      <c r="F58" s="13"/>
      <c r="G58" s="12"/>
      <c r="H58" s="15"/>
      <c r="I58" s="14" t="str">
        <f aca="true">IF(OR(B58="",D58=""),"",IF(H58="",TODAY()-B58,H58-B58))</f>
        <v/>
      </c>
      <c r="J58" s="13"/>
    </row>
    <row r="59" customFormat="false" ht="15" hidden="false" customHeight="false" outlineLevel="0" collapsed="false">
      <c r="A59" s="14" t="str">
        <f aca="false">IF(D59="","",ROW()-4)</f>
        <v/>
      </c>
      <c r="B59" s="15"/>
      <c r="C59" s="13"/>
      <c r="D59" s="13"/>
      <c r="E59" s="13"/>
      <c r="F59" s="13"/>
      <c r="G59" s="12"/>
      <c r="H59" s="15"/>
      <c r="I59" s="14" t="str">
        <f aca="true">IF(OR(B59="",D59=""),"",IF(H59="",TODAY()-B59,H59-B59))</f>
        <v/>
      </c>
      <c r="J59" s="13"/>
    </row>
    <row r="60" customFormat="false" ht="15" hidden="false" customHeight="false" outlineLevel="0" collapsed="false">
      <c r="A60" s="14" t="str">
        <f aca="false">IF(D60="","",ROW()-4)</f>
        <v/>
      </c>
      <c r="B60" s="15"/>
      <c r="C60" s="13"/>
      <c r="D60" s="13"/>
      <c r="E60" s="13"/>
      <c r="F60" s="13"/>
      <c r="G60" s="12"/>
      <c r="H60" s="15"/>
      <c r="I60" s="14" t="str">
        <f aca="true">IF(OR(B60="",D60=""),"",IF(H60="",TODAY()-B60,H60-B60))</f>
        <v/>
      </c>
      <c r="J60" s="13"/>
    </row>
    <row r="61" customFormat="false" ht="15" hidden="false" customHeight="false" outlineLevel="0" collapsed="false">
      <c r="A61" s="14" t="str">
        <f aca="false">IF(D61="","",ROW()-4)</f>
        <v/>
      </c>
      <c r="B61" s="15"/>
      <c r="C61" s="13"/>
      <c r="D61" s="13"/>
      <c r="E61" s="13"/>
      <c r="F61" s="13"/>
      <c r="G61" s="12"/>
      <c r="H61" s="15"/>
      <c r="I61" s="14" t="str">
        <f aca="true">IF(OR(B61="",D61=""),"",IF(H61="",TODAY()-B61,H61-B61))</f>
        <v/>
      </c>
      <c r="J61" s="13"/>
    </row>
    <row r="62" customFormat="false" ht="15" hidden="false" customHeight="false" outlineLevel="0" collapsed="false">
      <c r="A62" s="14" t="str">
        <f aca="false">IF(D62="","",ROW()-4)</f>
        <v/>
      </c>
      <c r="B62" s="15"/>
      <c r="C62" s="13"/>
      <c r="D62" s="13"/>
      <c r="E62" s="13"/>
      <c r="F62" s="13"/>
      <c r="G62" s="12"/>
      <c r="H62" s="15"/>
      <c r="I62" s="14" t="str">
        <f aca="true">IF(OR(B62="",D62=""),"",IF(H62="",TODAY()-B62,H62-B62))</f>
        <v/>
      </c>
      <c r="J62" s="13"/>
    </row>
    <row r="63" customFormat="false" ht="15" hidden="false" customHeight="false" outlineLevel="0" collapsed="false">
      <c r="A63" s="14" t="str">
        <f aca="false">IF(D63="","",ROW()-4)</f>
        <v/>
      </c>
      <c r="B63" s="15"/>
      <c r="C63" s="13"/>
      <c r="D63" s="13"/>
      <c r="E63" s="13"/>
      <c r="F63" s="13"/>
      <c r="G63" s="12"/>
      <c r="H63" s="15"/>
      <c r="I63" s="14" t="str">
        <f aca="true">IF(OR(B63="",D63=""),"",IF(H63="",TODAY()-B63,H63-B63))</f>
        <v/>
      </c>
      <c r="J63" s="13"/>
    </row>
    <row r="64" customFormat="false" ht="15" hidden="false" customHeight="false" outlineLevel="0" collapsed="false">
      <c r="A64" s="14" t="str">
        <f aca="false">IF(D64="","",ROW()-4)</f>
        <v/>
      </c>
      <c r="B64" s="15"/>
      <c r="C64" s="13"/>
      <c r="D64" s="13"/>
      <c r="E64" s="13"/>
      <c r="F64" s="13"/>
      <c r="G64" s="12"/>
      <c r="H64" s="15"/>
      <c r="I64" s="14" t="str">
        <f aca="true">IF(OR(B64="",D64=""),"",IF(H64="",TODAY()-B64,H64-B64))</f>
        <v/>
      </c>
      <c r="J64" s="13"/>
    </row>
    <row r="65" customFormat="false" ht="15" hidden="false" customHeight="false" outlineLevel="0" collapsed="false">
      <c r="A65" s="14" t="str">
        <f aca="false">IF(D65="","",ROW()-4)</f>
        <v/>
      </c>
      <c r="B65" s="15"/>
      <c r="C65" s="13"/>
      <c r="D65" s="13"/>
      <c r="E65" s="13"/>
      <c r="F65" s="13"/>
      <c r="G65" s="12"/>
      <c r="H65" s="15"/>
      <c r="I65" s="14" t="str">
        <f aca="true">IF(OR(B65="",D65=""),"",IF(H65="",TODAY()-B65,H65-B65))</f>
        <v/>
      </c>
      <c r="J65" s="13"/>
    </row>
    <row r="66" customFormat="false" ht="15" hidden="false" customHeight="false" outlineLevel="0" collapsed="false">
      <c r="A66" s="14" t="str">
        <f aca="false">IF(D66="","",ROW()-4)</f>
        <v/>
      </c>
      <c r="B66" s="15"/>
      <c r="C66" s="13"/>
      <c r="D66" s="13"/>
      <c r="E66" s="13"/>
      <c r="F66" s="13"/>
      <c r="G66" s="12"/>
      <c r="H66" s="15"/>
      <c r="I66" s="14" t="str">
        <f aca="true">IF(OR(B66="",D66=""),"",IF(H66="",TODAY()-B66,H66-B66))</f>
        <v/>
      </c>
      <c r="J66" s="13"/>
    </row>
    <row r="67" customFormat="false" ht="15" hidden="false" customHeight="false" outlineLevel="0" collapsed="false">
      <c r="A67" s="14" t="str">
        <f aca="false">IF(D67="","",ROW()-4)</f>
        <v/>
      </c>
      <c r="B67" s="15"/>
      <c r="C67" s="13"/>
      <c r="D67" s="13"/>
      <c r="E67" s="13"/>
      <c r="F67" s="13"/>
      <c r="G67" s="12"/>
      <c r="H67" s="15"/>
      <c r="I67" s="14" t="str">
        <f aca="true">IF(OR(B67="",D67=""),"",IF(H67="",TODAY()-B67,H67-B67))</f>
        <v/>
      </c>
      <c r="J67" s="13"/>
    </row>
    <row r="68" customFormat="false" ht="15" hidden="false" customHeight="false" outlineLevel="0" collapsed="false">
      <c r="A68" s="14" t="str">
        <f aca="false">IF(D68="","",ROW()-4)</f>
        <v/>
      </c>
      <c r="B68" s="15"/>
      <c r="C68" s="13"/>
      <c r="D68" s="13"/>
      <c r="E68" s="13"/>
      <c r="F68" s="13"/>
      <c r="G68" s="12"/>
      <c r="H68" s="15"/>
      <c r="I68" s="14" t="str">
        <f aca="true">IF(OR(B68="",D68=""),"",IF(H68="",TODAY()-B68,H68-B68))</f>
        <v/>
      </c>
      <c r="J68" s="13"/>
    </row>
    <row r="69" customFormat="false" ht="15" hidden="false" customHeight="false" outlineLevel="0" collapsed="false">
      <c r="A69" s="14" t="str">
        <f aca="false">IF(D69="","",ROW()-4)</f>
        <v/>
      </c>
      <c r="B69" s="15"/>
      <c r="C69" s="13"/>
      <c r="D69" s="13"/>
      <c r="E69" s="13"/>
      <c r="F69" s="13"/>
      <c r="G69" s="12"/>
      <c r="H69" s="15"/>
      <c r="I69" s="14" t="str">
        <f aca="true">IF(OR(B69="",D69=""),"",IF(H69="",TODAY()-B69,H69-B69))</f>
        <v/>
      </c>
      <c r="J69" s="13"/>
    </row>
    <row r="70" customFormat="false" ht="15" hidden="false" customHeight="false" outlineLevel="0" collapsed="false">
      <c r="A70" s="14" t="str">
        <f aca="false">IF(D70="","",ROW()-4)</f>
        <v/>
      </c>
      <c r="B70" s="15"/>
      <c r="C70" s="13"/>
      <c r="D70" s="13"/>
      <c r="E70" s="13"/>
      <c r="F70" s="13"/>
      <c r="G70" s="12"/>
      <c r="H70" s="15"/>
      <c r="I70" s="14" t="str">
        <f aca="true">IF(OR(B70="",D70=""),"",IF(H70="",TODAY()-B70,H70-B70))</f>
        <v/>
      </c>
      <c r="J70" s="13"/>
    </row>
    <row r="71" customFormat="false" ht="15" hidden="false" customHeight="false" outlineLevel="0" collapsed="false">
      <c r="A71" s="14" t="str">
        <f aca="false">IF(D71="","",ROW()-4)</f>
        <v/>
      </c>
      <c r="B71" s="15"/>
      <c r="C71" s="13"/>
      <c r="D71" s="13"/>
      <c r="E71" s="13"/>
      <c r="F71" s="13"/>
      <c r="G71" s="12"/>
      <c r="H71" s="15"/>
      <c r="I71" s="14" t="str">
        <f aca="true">IF(OR(B71="",D71=""),"",IF(H71="",TODAY()-B71,H71-B71))</f>
        <v/>
      </c>
      <c r="J71" s="13"/>
    </row>
    <row r="72" customFormat="false" ht="15" hidden="false" customHeight="false" outlineLevel="0" collapsed="false">
      <c r="A72" s="14" t="str">
        <f aca="false">IF(D72="","",ROW()-4)</f>
        <v/>
      </c>
      <c r="B72" s="15"/>
      <c r="C72" s="13"/>
      <c r="D72" s="13"/>
      <c r="E72" s="13"/>
      <c r="F72" s="13"/>
      <c r="G72" s="12"/>
      <c r="H72" s="15"/>
      <c r="I72" s="14" t="str">
        <f aca="true">IF(OR(B72="",D72=""),"",IF(H72="",TODAY()-B72,H72-B72))</f>
        <v/>
      </c>
      <c r="J72" s="13"/>
    </row>
    <row r="73" customFormat="false" ht="15" hidden="false" customHeight="false" outlineLevel="0" collapsed="false">
      <c r="A73" s="14" t="str">
        <f aca="false">IF(D73="","",ROW()-4)</f>
        <v/>
      </c>
      <c r="B73" s="15"/>
      <c r="C73" s="13"/>
      <c r="D73" s="13"/>
      <c r="E73" s="13"/>
      <c r="F73" s="13"/>
      <c r="G73" s="12"/>
      <c r="H73" s="15"/>
      <c r="I73" s="14" t="str">
        <f aca="true">IF(OR(B73="",D73=""),"",IF(H73="",TODAY()-B73,H73-B73))</f>
        <v/>
      </c>
      <c r="J73" s="13"/>
    </row>
    <row r="74" customFormat="false" ht="15" hidden="false" customHeight="false" outlineLevel="0" collapsed="false">
      <c r="A74" s="14" t="str">
        <f aca="false">IF(D74="","",ROW()-4)</f>
        <v/>
      </c>
      <c r="B74" s="15"/>
      <c r="C74" s="13"/>
      <c r="D74" s="13"/>
      <c r="E74" s="13"/>
      <c r="F74" s="13"/>
      <c r="G74" s="12"/>
      <c r="H74" s="15"/>
      <c r="I74" s="14" t="str">
        <f aca="true">IF(OR(B74="",D74=""),"",IF(H74="",TODAY()-B74,H74-B74))</f>
        <v/>
      </c>
      <c r="J74" s="13"/>
    </row>
    <row r="75" customFormat="false" ht="15" hidden="false" customHeight="false" outlineLevel="0" collapsed="false">
      <c r="A75" s="14" t="str">
        <f aca="false">IF(D75="","",ROW()-4)</f>
        <v/>
      </c>
      <c r="B75" s="15"/>
      <c r="C75" s="13"/>
      <c r="D75" s="13"/>
      <c r="E75" s="13"/>
      <c r="F75" s="13"/>
      <c r="G75" s="12"/>
      <c r="H75" s="15"/>
      <c r="I75" s="14" t="str">
        <f aca="true">IF(OR(B75="",D75=""),"",IF(H75="",TODAY()-B75,H75-B75))</f>
        <v/>
      </c>
      <c r="J75" s="13"/>
    </row>
    <row r="76" customFormat="false" ht="15" hidden="false" customHeight="false" outlineLevel="0" collapsed="false">
      <c r="A76" s="14" t="str">
        <f aca="false">IF(D76="","",ROW()-4)</f>
        <v/>
      </c>
      <c r="B76" s="15"/>
      <c r="C76" s="13"/>
      <c r="D76" s="13"/>
      <c r="E76" s="13"/>
      <c r="F76" s="13"/>
      <c r="G76" s="12"/>
      <c r="H76" s="15"/>
      <c r="I76" s="14" t="str">
        <f aca="true">IF(OR(B76="",D76=""),"",IF(H76="",TODAY()-B76,H76-B76))</f>
        <v/>
      </c>
      <c r="J76" s="13"/>
    </row>
    <row r="77" customFormat="false" ht="15" hidden="false" customHeight="false" outlineLevel="0" collapsed="false">
      <c r="A77" s="14" t="str">
        <f aca="false">IF(D77="","",ROW()-4)</f>
        <v/>
      </c>
      <c r="B77" s="15"/>
      <c r="C77" s="13"/>
      <c r="D77" s="13"/>
      <c r="E77" s="13"/>
      <c r="F77" s="13"/>
      <c r="G77" s="12"/>
      <c r="H77" s="15"/>
      <c r="I77" s="14" t="str">
        <f aca="true">IF(OR(B77="",D77=""),"",IF(H77="",TODAY()-B77,H77-B77))</f>
        <v/>
      </c>
      <c r="J77" s="13"/>
    </row>
    <row r="78" customFormat="false" ht="15" hidden="false" customHeight="false" outlineLevel="0" collapsed="false">
      <c r="A78" s="14" t="str">
        <f aca="false">IF(D78="","",ROW()-4)</f>
        <v/>
      </c>
      <c r="B78" s="15"/>
      <c r="C78" s="13"/>
      <c r="D78" s="13"/>
      <c r="E78" s="13"/>
      <c r="F78" s="13"/>
      <c r="G78" s="12"/>
      <c r="H78" s="15"/>
      <c r="I78" s="14" t="str">
        <f aca="true">IF(OR(B78="",D78=""),"",IF(H78="",TODAY()-B78,H78-B78))</f>
        <v/>
      </c>
      <c r="J78" s="13"/>
    </row>
    <row r="79" customFormat="false" ht="15" hidden="false" customHeight="false" outlineLevel="0" collapsed="false">
      <c r="A79" s="14" t="str">
        <f aca="false">IF(D79="","",ROW()-4)</f>
        <v/>
      </c>
      <c r="B79" s="15"/>
      <c r="C79" s="13"/>
      <c r="D79" s="13"/>
      <c r="E79" s="13"/>
      <c r="F79" s="13"/>
      <c r="G79" s="12"/>
      <c r="H79" s="15"/>
      <c r="I79" s="14" t="str">
        <f aca="true">IF(OR(B79="",D79=""),"",IF(H79="",TODAY()-B79,H79-B79))</f>
        <v/>
      </c>
      <c r="J79" s="13"/>
    </row>
    <row r="80" customFormat="false" ht="15" hidden="false" customHeight="false" outlineLevel="0" collapsed="false">
      <c r="A80" s="14" t="str">
        <f aca="false">IF(D80="","",ROW()-4)</f>
        <v/>
      </c>
      <c r="B80" s="15"/>
      <c r="C80" s="13"/>
      <c r="D80" s="13"/>
      <c r="E80" s="13"/>
      <c r="F80" s="13"/>
      <c r="G80" s="12"/>
      <c r="H80" s="15"/>
      <c r="I80" s="14" t="str">
        <f aca="true">IF(OR(B80="",D80=""),"",IF(H80="",TODAY()-B80,H80-B80))</f>
        <v/>
      </c>
      <c r="J80" s="13"/>
    </row>
    <row r="81" customFormat="false" ht="15" hidden="false" customHeight="false" outlineLevel="0" collapsed="false">
      <c r="A81" s="14" t="str">
        <f aca="false">IF(D81="","",ROW()-4)</f>
        <v/>
      </c>
      <c r="B81" s="15"/>
      <c r="C81" s="13"/>
      <c r="D81" s="13"/>
      <c r="E81" s="13"/>
      <c r="F81" s="13"/>
      <c r="G81" s="12"/>
      <c r="H81" s="15"/>
      <c r="I81" s="14" t="str">
        <f aca="true">IF(OR(B81="",D81=""),"",IF(H81="",TODAY()-B81,H81-B81))</f>
        <v/>
      </c>
      <c r="J81" s="13"/>
    </row>
    <row r="82" customFormat="false" ht="15" hidden="false" customHeight="false" outlineLevel="0" collapsed="false">
      <c r="A82" s="14" t="str">
        <f aca="false">IF(D82="","",ROW()-4)</f>
        <v/>
      </c>
      <c r="B82" s="15"/>
      <c r="C82" s="13"/>
      <c r="D82" s="13"/>
      <c r="E82" s="13"/>
      <c r="F82" s="13"/>
      <c r="G82" s="12"/>
      <c r="H82" s="15"/>
      <c r="I82" s="14" t="str">
        <f aca="true">IF(OR(B82="",D82=""),"",IF(H82="",TODAY()-B82,H82-B82))</f>
        <v/>
      </c>
      <c r="J82" s="13"/>
    </row>
    <row r="83" customFormat="false" ht="15" hidden="false" customHeight="false" outlineLevel="0" collapsed="false">
      <c r="A83" s="14" t="str">
        <f aca="false">IF(D83="","",ROW()-4)</f>
        <v/>
      </c>
      <c r="B83" s="15"/>
      <c r="C83" s="13"/>
      <c r="D83" s="13"/>
      <c r="E83" s="13"/>
      <c r="F83" s="13"/>
      <c r="G83" s="12"/>
      <c r="H83" s="15"/>
      <c r="I83" s="14" t="str">
        <f aca="true">IF(OR(B83="",D83=""),"",IF(H83="",TODAY()-B83,H83-B83))</f>
        <v/>
      </c>
      <c r="J83" s="13"/>
    </row>
    <row r="84" customFormat="false" ht="15" hidden="false" customHeight="false" outlineLevel="0" collapsed="false">
      <c r="A84" s="14" t="str">
        <f aca="false">IF(D84="","",ROW()-4)</f>
        <v/>
      </c>
      <c r="B84" s="15"/>
      <c r="C84" s="13"/>
      <c r="D84" s="13"/>
      <c r="E84" s="13"/>
      <c r="F84" s="13"/>
      <c r="G84" s="12"/>
      <c r="H84" s="15"/>
      <c r="I84" s="14" t="str">
        <f aca="true">IF(OR(B84="",D84=""),"",IF(H84="",TODAY()-B84,H84-B84))</f>
        <v/>
      </c>
      <c r="J84" s="13"/>
    </row>
    <row r="85" customFormat="false" ht="15" hidden="false" customHeight="false" outlineLevel="0" collapsed="false">
      <c r="A85" s="14" t="str">
        <f aca="false">IF(D85="","",ROW()-4)</f>
        <v/>
      </c>
      <c r="B85" s="15"/>
      <c r="C85" s="13"/>
      <c r="D85" s="13"/>
      <c r="E85" s="13"/>
      <c r="F85" s="13"/>
      <c r="G85" s="12"/>
      <c r="H85" s="15"/>
      <c r="I85" s="14" t="str">
        <f aca="true">IF(OR(B85="",D85=""),"",IF(H85="",TODAY()-B85,H85-B85))</f>
        <v/>
      </c>
      <c r="J85" s="13"/>
    </row>
    <row r="86" customFormat="false" ht="15" hidden="false" customHeight="false" outlineLevel="0" collapsed="false">
      <c r="A86" s="14" t="str">
        <f aca="false">IF(D86="","",ROW()-4)</f>
        <v/>
      </c>
      <c r="B86" s="15"/>
      <c r="C86" s="13"/>
      <c r="D86" s="13"/>
      <c r="E86" s="13"/>
      <c r="F86" s="13"/>
      <c r="G86" s="12"/>
      <c r="H86" s="15"/>
      <c r="I86" s="14" t="str">
        <f aca="true">IF(OR(B86="",D86=""),"",IF(H86="",TODAY()-B86,H86-B86))</f>
        <v/>
      </c>
      <c r="J86" s="13"/>
    </row>
    <row r="87" customFormat="false" ht="15" hidden="false" customHeight="false" outlineLevel="0" collapsed="false">
      <c r="A87" s="14" t="str">
        <f aca="false">IF(D87="","",ROW()-4)</f>
        <v/>
      </c>
      <c r="B87" s="15"/>
      <c r="C87" s="13"/>
      <c r="D87" s="13"/>
      <c r="E87" s="13"/>
      <c r="F87" s="13"/>
      <c r="G87" s="12"/>
      <c r="H87" s="15"/>
      <c r="I87" s="14" t="str">
        <f aca="true">IF(OR(B87="",D87=""),"",IF(H87="",TODAY()-B87,H87-B87))</f>
        <v/>
      </c>
      <c r="J87" s="13"/>
    </row>
    <row r="88" customFormat="false" ht="15" hidden="false" customHeight="false" outlineLevel="0" collapsed="false">
      <c r="A88" s="14" t="str">
        <f aca="false">IF(D88="","",ROW()-4)</f>
        <v/>
      </c>
      <c r="B88" s="15"/>
      <c r="C88" s="13"/>
      <c r="D88" s="13"/>
      <c r="E88" s="13"/>
      <c r="F88" s="13"/>
      <c r="G88" s="12"/>
      <c r="H88" s="15"/>
      <c r="I88" s="14" t="str">
        <f aca="true">IF(OR(B88="",D88=""),"",IF(H88="",TODAY()-B88,H88-B88))</f>
        <v/>
      </c>
      <c r="J88" s="13"/>
    </row>
    <row r="89" customFormat="false" ht="15" hidden="false" customHeight="false" outlineLevel="0" collapsed="false">
      <c r="A89" s="14" t="str">
        <f aca="false">IF(D89="","",ROW()-4)</f>
        <v/>
      </c>
      <c r="B89" s="15"/>
      <c r="C89" s="13"/>
      <c r="D89" s="13"/>
      <c r="E89" s="13"/>
      <c r="F89" s="13"/>
      <c r="G89" s="12"/>
      <c r="H89" s="15"/>
      <c r="I89" s="14" t="str">
        <f aca="true">IF(OR(B89="",D89=""),"",IF(H89="",TODAY()-B89,H89-B89))</f>
        <v/>
      </c>
      <c r="J89" s="13"/>
    </row>
    <row r="90" customFormat="false" ht="15" hidden="false" customHeight="false" outlineLevel="0" collapsed="false">
      <c r="A90" s="14" t="str">
        <f aca="false">IF(D90="","",ROW()-4)</f>
        <v/>
      </c>
      <c r="B90" s="15"/>
      <c r="C90" s="13"/>
      <c r="D90" s="13"/>
      <c r="E90" s="13"/>
      <c r="F90" s="13"/>
      <c r="G90" s="12"/>
      <c r="H90" s="15"/>
      <c r="I90" s="14" t="str">
        <f aca="true">IF(OR(B90="",D90=""),"",IF(H90="",TODAY()-B90,H90-B90))</f>
        <v/>
      </c>
      <c r="J90" s="13"/>
    </row>
    <row r="91" customFormat="false" ht="15" hidden="false" customHeight="false" outlineLevel="0" collapsed="false">
      <c r="A91" s="14" t="str">
        <f aca="false">IF(D91="","",ROW()-4)</f>
        <v/>
      </c>
      <c r="B91" s="15"/>
      <c r="C91" s="13"/>
      <c r="D91" s="13"/>
      <c r="E91" s="13"/>
      <c r="F91" s="13"/>
      <c r="G91" s="12"/>
      <c r="H91" s="15"/>
      <c r="I91" s="14" t="str">
        <f aca="true">IF(OR(B91="",D91=""),"",IF(H91="",TODAY()-B91,H91-B91))</f>
        <v/>
      </c>
      <c r="J91" s="13"/>
    </row>
    <row r="92" customFormat="false" ht="15" hidden="false" customHeight="false" outlineLevel="0" collapsed="false">
      <c r="A92" s="14" t="str">
        <f aca="false">IF(D92="","",ROW()-4)</f>
        <v/>
      </c>
      <c r="B92" s="15"/>
      <c r="C92" s="13"/>
      <c r="D92" s="13"/>
      <c r="E92" s="13"/>
      <c r="F92" s="13"/>
      <c r="G92" s="12"/>
      <c r="H92" s="15"/>
      <c r="I92" s="14" t="str">
        <f aca="true">IF(OR(B92="",D92=""),"",IF(H92="",TODAY()-B92,H92-B92))</f>
        <v/>
      </c>
      <c r="J92" s="13"/>
    </row>
    <row r="93" customFormat="false" ht="15" hidden="false" customHeight="false" outlineLevel="0" collapsed="false">
      <c r="A93" s="14" t="str">
        <f aca="false">IF(D93="","",ROW()-4)</f>
        <v/>
      </c>
      <c r="B93" s="15"/>
      <c r="C93" s="13"/>
      <c r="D93" s="13"/>
      <c r="E93" s="13"/>
      <c r="F93" s="13"/>
      <c r="G93" s="12"/>
      <c r="H93" s="15"/>
      <c r="I93" s="14" t="str">
        <f aca="true">IF(OR(B93="",D93=""),"",IF(H93="",TODAY()-B93,H93-B93))</f>
        <v/>
      </c>
      <c r="J93" s="13"/>
    </row>
    <row r="94" customFormat="false" ht="15" hidden="false" customHeight="false" outlineLevel="0" collapsed="false">
      <c r="A94" s="14" t="str">
        <f aca="false">IF(D94="","",ROW()-4)</f>
        <v/>
      </c>
      <c r="B94" s="15"/>
      <c r="C94" s="13"/>
      <c r="D94" s="13"/>
      <c r="E94" s="13"/>
      <c r="F94" s="13"/>
      <c r="G94" s="12"/>
      <c r="H94" s="15"/>
      <c r="I94" s="14" t="str">
        <f aca="true">IF(OR(B94="",D94=""),"",IF(H94="",TODAY()-B94,H94-B94))</f>
        <v/>
      </c>
      <c r="J94" s="13"/>
    </row>
    <row r="95" customFormat="false" ht="15" hidden="false" customHeight="false" outlineLevel="0" collapsed="false">
      <c r="A95" s="14" t="str">
        <f aca="false">IF(D95="","",ROW()-4)</f>
        <v/>
      </c>
      <c r="B95" s="15"/>
      <c r="C95" s="13"/>
      <c r="D95" s="13"/>
      <c r="E95" s="13"/>
      <c r="F95" s="13"/>
      <c r="G95" s="12"/>
      <c r="H95" s="15"/>
      <c r="I95" s="14" t="str">
        <f aca="true">IF(OR(B95="",D95=""),"",IF(H95="",TODAY()-B95,H95-B95))</f>
        <v/>
      </c>
      <c r="J95" s="13"/>
    </row>
    <row r="96" customFormat="false" ht="15" hidden="false" customHeight="false" outlineLevel="0" collapsed="false">
      <c r="A96" s="14" t="str">
        <f aca="false">IF(D96="","",ROW()-4)</f>
        <v/>
      </c>
      <c r="B96" s="15"/>
      <c r="C96" s="13"/>
      <c r="D96" s="13"/>
      <c r="E96" s="13"/>
      <c r="F96" s="13"/>
      <c r="G96" s="12"/>
      <c r="H96" s="15"/>
      <c r="I96" s="14" t="str">
        <f aca="true">IF(OR(B96="",D96=""),"",IF(H96="",TODAY()-B96,H96-B96))</f>
        <v/>
      </c>
      <c r="J96" s="13"/>
    </row>
    <row r="97" customFormat="false" ht="15" hidden="false" customHeight="false" outlineLevel="0" collapsed="false">
      <c r="A97" s="14" t="str">
        <f aca="false">IF(D97="","",ROW()-4)</f>
        <v/>
      </c>
      <c r="B97" s="15"/>
      <c r="C97" s="13"/>
      <c r="D97" s="13"/>
      <c r="E97" s="13"/>
      <c r="F97" s="13"/>
      <c r="G97" s="12"/>
      <c r="H97" s="15"/>
      <c r="I97" s="14" t="str">
        <f aca="true">IF(OR(B97="",D97=""),"",IF(H97="",TODAY()-B97,H97-B97))</f>
        <v/>
      </c>
      <c r="J97" s="13"/>
    </row>
    <row r="98" customFormat="false" ht="15" hidden="false" customHeight="false" outlineLevel="0" collapsed="false">
      <c r="A98" s="14" t="str">
        <f aca="false">IF(D98="","",ROW()-4)</f>
        <v/>
      </c>
      <c r="B98" s="15"/>
      <c r="C98" s="13"/>
      <c r="D98" s="13"/>
      <c r="E98" s="13"/>
      <c r="F98" s="13"/>
      <c r="G98" s="12"/>
      <c r="H98" s="15"/>
      <c r="I98" s="14" t="str">
        <f aca="true">IF(OR(B98="",D98=""),"",IF(H98="",TODAY()-B98,H98-B98))</f>
        <v/>
      </c>
      <c r="J98" s="13"/>
    </row>
    <row r="99" customFormat="false" ht="15" hidden="false" customHeight="false" outlineLevel="0" collapsed="false">
      <c r="A99" s="14" t="str">
        <f aca="false">IF(D99="","",ROW()-4)</f>
        <v/>
      </c>
      <c r="B99" s="15"/>
      <c r="C99" s="13"/>
      <c r="D99" s="13"/>
      <c r="E99" s="13"/>
      <c r="F99" s="13"/>
      <c r="G99" s="12"/>
      <c r="H99" s="15"/>
      <c r="I99" s="14" t="str">
        <f aca="true">IF(OR(B99="",D99=""),"",IF(H99="",TODAY()-B99,H99-B99))</f>
        <v/>
      </c>
      <c r="J99" s="13"/>
    </row>
    <row r="100" customFormat="false" ht="15" hidden="false" customHeight="false" outlineLevel="0" collapsed="false">
      <c r="A100" s="14" t="str">
        <f aca="false">IF(D100="","",ROW()-4)</f>
        <v/>
      </c>
      <c r="B100" s="15"/>
      <c r="C100" s="13"/>
      <c r="D100" s="13"/>
      <c r="E100" s="13"/>
      <c r="F100" s="13"/>
      <c r="G100" s="12"/>
      <c r="H100" s="15"/>
      <c r="I100" s="14" t="str">
        <f aca="true">IF(OR(B100="",D100=""),"",IF(H100="",TODAY()-B100,H100-B100))</f>
        <v/>
      </c>
      <c r="J100" s="13"/>
    </row>
    <row r="101" customFormat="false" ht="15" hidden="false" customHeight="false" outlineLevel="0" collapsed="false">
      <c r="A101" s="14" t="str">
        <f aca="false">IF(D101="","",ROW()-4)</f>
        <v/>
      </c>
      <c r="B101" s="15"/>
      <c r="C101" s="13"/>
      <c r="D101" s="13"/>
      <c r="E101" s="13"/>
      <c r="F101" s="13"/>
      <c r="G101" s="12"/>
      <c r="H101" s="15"/>
      <c r="I101" s="14" t="str">
        <f aca="true">IF(OR(B101="",D101=""),"",IF(H101="",TODAY()-B101,H101-B101))</f>
        <v/>
      </c>
      <c r="J101" s="13"/>
    </row>
    <row r="102" customFormat="false" ht="15" hidden="false" customHeight="false" outlineLevel="0" collapsed="false">
      <c r="A102" s="14" t="str">
        <f aca="false">IF(D102="","",ROW()-4)</f>
        <v/>
      </c>
      <c r="B102" s="15"/>
      <c r="C102" s="13"/>
      <c r="D102" s="13"/>
      <c r="E102" s="13"/>
      <c r="F102" s="13"/>
      <c r="G102" s="12"/>
      <c r="H102" s="15"/>
      <c r="I102" s="14" t="str">
        <f aca="true">IF(OR(B102="",D102=""),"",IF(H102="",TODAY()-B102,H102-B102))</f>
        <v/>
      </c>
      <c r="J102" s="13"/>
    </row>
    <row r="103" customFormat="false" ht="15" hidden="false" customHeight="false" outlineLevel="0" collapsed="false">
      <c r="A103" s="14" t="str">
        <f aca="false">IF(D103="","",ROW()-4)</f>
        <v/>
      </c>
      <c r="B103" s="15"/>
      <c r="C103" s="13"/>
      <c r="D103" s="13"/>
      <c r="E103" s="13"/>
      <c r="F103" s="13"/>
      <c r="G103" s="12"/>
      <c r="H103" s="15"/>
      <c r="I103" s="14" t="str">
        <f aca="true">IF(OR(B103="",D103=""),"",IF(H103="",TODAY()-B103,H103-B103))</f>
        <v/>
      </c>
      <c r="J103" s="13"/>
    </row>
    <row r="104" customFormat="false" ht="15" hidden="false" customHeight="false" outlineLevel="0" collapsed="false">
      <c r="A104" s="14" t="str">
        <f aca="false">IF(D104="","",ROW()-4)</f>
        <v/>
      </c>
      <c r="B104" s="15"/>
      <c r="C104" s="13"/>
      <c r="D104" s="13"/>
      <c r="E104" s="13"/>
      <c r="F104" s="13"/>
      <c r="G104" s="12"/>
      <c r="H104" s="15"/>
      <c r="I104" s="14" t="str">
        <f aca="true">IF(OR(B104="",D104=""),"",IF(H104="",TODAY()-B104,H104-B104))</f>
        <v/>
      </c>
      <c r="J104" s="13"/>
    </row>
    <row r="105" customFormat="false" ht="15" hidden="false" customHeight="false" outlineLevel="0" collapsed="false">
      <c r="A105" s="14" t="str">
        <f aca="false">IF(D105="","",ROW()-4)</f>
        <v/>
      </c>
      <c r="B105" s="15"/>
      <c r="C105" s="13"/>
      <c r="D105" s="13"/>
      <c r="E105" s="13"/>
      <c r="F105" s="13"/>
      <c r="G105" s="12"/>
      <c r="H105" s="15"/>
      <c r="I105" s="14" t="str">
        <f aca="true">IF(OR(B105="",D105=""),"",IF(H105="",TODAY()-B105,H105-B105))</f>
        <v/>
      </c>
      <c r="J105" s="13"/>
    </row>
    <row r="106" customFormat="false" ht="15" hidden="false" customHeight="false" outlineLevel="0" collapsed="false">
      <c r="A106" s="14" t="str">
        <f aca="false">IF(D106="","",ROW()-4)</f>
        <v/>
      </c>
      <c r="B106" s="15"/>
      <c r="C106" s="13"/>
      <c r="D106" s="13"/>
      <c r="E106" s="13"/>
      <c r="F106" s="13"/>
      <c r="G106" s="12"/>
      <c r="H106" s="15"/>
      <c r="I106" s="14" t="str">
        <f aca="true">IF(OR(B106="",D106=""),"",IF(H106="",TODAY()-B106,H106-B106))</f>
        <v/>
      </c>
      <c r="J106" s="13"/>
    </row>
    <row r="107" customFormat="false" ht="15" hidden="false" customHeight="false" outlineLevel="0" collapsed="false">
      <c r="A107" s="14" t="str">
        <f aca="false">IF(D107="","",ROW()-4)</f>
        <v/>
      </c>
      <c r="B107" s="15"/>
      <c r="C107" s="13"/>
      <c r="D107" s="13"/>
      <c r="E107" s="13"/>
      <c r="F107" s="13"/>
      <c r="G107" s="12"/>
      <c r="H107" s="15"/>
      <c r="I107" s="14" t="str">
        <f aca="true">IF(OR(B107="",D107=""),"",IF(H107="",TODAY()-B107,H107-B107))</f>
        <v/>
      </c>
      <c r="J107" s="13"/>
    </row>
    <row r="108" customFormat="false" ht="15" hidden="false" customHeight="false" outlineLevel="0" collapsed="false">
      <c r="A108" s="14" t="str">
        <f aca="false">IF(D108="","",ROW()-4)</f>
        <v/>
      </c>
      <c r="B108" s="15"/>
      <c r="C108" s="13"/>
      <c r="D108" s="13"/>
      <c r="E108" s="13"/>
      <c r="F108" s="13"/>
      <c r="G108" s="12"/>
      <c r="H108" s="15"/>
      <c r="I108" s="14" t="str">
        <f aca="true">IF(OR(B108="",D108=""),"",IF(H108="",TODAY()-B108,H108-B108))</f>
        <v/>
      </c>
      <c r="J108" s="13"/>
    </row>
    <row r="109" customFormat="false" ht="15" hidden="false" customHeight="false" outlineLevel="0" collapsed="false">
      <c r="A109" s="14" t="str">
        <f aca="false">IF(D109="","",ROW()-4)</f>
        <v/>
      </c>
      <c r="B109" s="15"/>
      <c r="C109" s="13"/>
      <c r="D109" s="13"/>
      <c r="E109" s="13"/>
      <c r="F109" s="13"/>
      <c r="G109" s="12"/>
      <c r="H109" s="15"/>
      <c r="I109" s="14" t="str">
        <f aca="true">IF(OR(B109="",D109=""),"",IF(H109="",TODAY()-B109,H109-B109))</f>
        <v/>
      </c>
      <c r="J109" s="13"/>
    </row>
    <row r="110" customFormat="false" ht="15" hidden="false" customHeight="false" outlineLevel="0" collapsed="false">
      <c r="A110" s="14" t="str">
        <f aca="false">IF(D110="","",ROW()-4)</f>
        <v/>
      </c>
      <c r="B110" s="15"/>
      <c r="C110" s="13"/>
      <c r="D110" s="13"/>
      <c r="E110" s="13"/>
      <c r="F110" s="13"/>
      <c r="G110" s="12"/>
      <c r="H110" s="15"/>
      <c r="I110" s="14" t="str">
        <f aca="true">IF(OR(B110="",D110=""),"",IF(H110="",TODAY()-B110,H110-B110))</f>
        <v/>
      </c>
      <c r="J110" s="13"/>
    </row>
    <row r="111" customFormat="false" ht="15" hidden="false" customHeight="false" outlineLevel="0" collapsed="false">
      <c r="A111" s="14" t="str">
        <f aca="false">IF(D111="","",ROW()-4)</f>
        <v/>
      </c>
      <c r="B111" s="15"/>
      <c r="C111" s="13"/>
      <c r="D111" s="13"/>
      <c r="E111" s="13"/>
      <c r="F111" s="13"/>
      <c r="G111" s="12"/>
      <c r="H111" s="15"/>
      <c r="I111" s="14" t="str">
        <f aca="true">IF(OR(B111="",D111=""),"",IF(H111="",TODAY()-B111,H111-B111))</f>
        <v/>
      </c>
      <c r="J111" s="13"/>
    </row>
    <row r="112" customFormat="false" ht="15" hidden="false" customHeight="false" outlineLevel="0" collapsed="false">
      <c r="A112" s="14" t="str">
        <f aca="false">IF(D112="","",ROW()-4)</f>
        <v/>
      </c>
      <c r="B112" s="15"/>
      <c r="C112" s="13"/>
      <c r="D112" s="13"/>
      <c r="E112" s="13"/>
      <c r="F112" s="13"/>
      <c r="G112" s="12"/>
      <c r="H112" s="15"/>
      <c r="I112" s="14" t="str">
        <f aca="true">IF(OR(B112="",D112=""),"",IF(H112="",TODAY()-B112,H112-B112))</f>
        <v/>
      </c>
      <c r="J112" s="13"/>
    </row>
    <row r="113" customFormat="false" ht="15" hidden="false" customHeight="false" outlineLevel="0" collapsed="false">
      <c r="A113" s="14" t="str">
        <f aca="false">IF(D113="","",ROW()-4)</f>
        <v/>
      </c>
      <c r="B113" s="15"/>
      <c r="C113" s="13"/>
      <c r="D113" s="13"/>
      <c r="E113" s="13"/>
      <c r="F113" s="13"/>
      <c r="G113" s="12"/>
      <c r="H113" s="15"/>
      <c r="I113" s="14" t="str">
        <f aca="true">IF(OR(B113="",D113=""),"",IF(H113="",TODAY()-B113,H113-B113))</f>
        <v/>
      </c>
      <c r="J113" s="13"/>
    </row>
    <row r="114" customFormat="false" ht="15" hidden="false" customHeight="false" outlineLevel="0" collapsed="false">
      <c r="A114" s="14" t="str">
        <f aca="false">IF(D114="","",ROW()-4)</f>
        <v/>
      </c>
      <c r="B114" s="15"/>
      <c r="C114" s="13"/>
      <c r="D114" s="13"/>
      <c r="E114" s="13"/>
      <c r="F114" s="13"/>
      <c r="G114" s="12"/>
      <c r="H114" s="15"/>
      <c r="I114" s="14" t="str">
        <f aca="true">IF(OR(B114="",D114=""),"",IF(H114="",TODAY()-B114,H114-B114))</f>
        <v/>
      </c>
      <c r="J114" s="13"/>
    </row>
    <row r="115" customFormat="false" ht="15" hidden="false" customHeight="false" outlineLevel="0" collapsed="false">
      <c r="A115" s="14" t="str">
        <f aca="false">IF(D115="","",ROW()-4)</f>
        <v/>
      </c>
      <c r="B115" s="15"/>
      <c r="C115" s="13"/>
      <c r="D115" s="13"/>
      <c r="E115" s="13"/>
      <c r="F115" s="13"/>
      <c r="G115" s="12"/>
      <c r="H115" s="15"/>
      <c r="I115" s="14" t="str">
        <f aca="true">IF(OR(B115="",D115=""),"",IF(H115="",TODAY()-B115,H115-B115))</f>
        <v/>
      </c>
      <c r="J115" s="13"/>
    </row>
    <row r="116" customFormat="false" ht="15" hidden="false" customHeight="false" outlineLevel="0" collapsed="false">
      <c r="A116" s="14" t="str">
        <f aca="false">IF(D116="","",ROW()-4)</f>
        <v/>
      </c>
      <c r="B116" s="15"/>
      <c r="C116" s="13"/>
      <c r="D116" s="13"/>
      <c r="E116" s="13"/>
      <c r="F116" s="13"/>
      <c r="G116" s="12"/>
      <c r="H116" s="15"/>
      <c r="I116" s="14" t="str">
        <f aca="true">IF(OR(B116="",D116=""),"",IF(H116="",TODAY()-B116,H116-B116))</f>
        <v/>
      </c>
      <c r="J116" s="13"/>
    </row>
    <row r="117" customFormat="false" ht="15" hidden="false" customHeight="false" outlineLevel="0" collapsed="false">
      <c r="A117" s="14" t="str">
        <f aca="false">IF(D117="","",ROW()-4)</f>
        <v/>
      </c>
      <c r="B117" s="15"/>
      <c r="C117" s="13"/>
      <c r="D117" s="13"/>
      <c r="E117" s="13"/>
      <c r="F117" s="13"/>
      <c r="G117" s="12"/>
      <c r="H117" s="15"/>
      <c r="I117" s="14" t="str">
        <f aca="true">IF(OR(B117="",D117=""),"",IF(H117="",TODAY()-B117,H117-B117))</f>
        <v/>
      </c>
      <c r="J117" s="13"/>
    </row>
    <row r="118" customFormat="false" ht="15" hidden="false" customHeight="false" outlineLevel="0" collapsed="false">
      <c r="A118" s="14" t="str">
        <f aca="false">IF(D118="","",ROW()-4)</f>
        <v/>
      </c>
      <c r="B118" s="15"/>
      <c r="C118" s="13"/>
      <c r="D118" s="13"/>
      <c r="E118" s="13"/>
      <c r="F118" s="13"/>
      <c r="G118" s="12"/>
      <c r="H118" s="15"/>
      <c r="I118" s="14" t="str">
        <f aca="true">IF(OR(B118="",D118=""),"",IF(H118="",TODAY()-B118,H118-B118))</f>
        <v/>
      </c>
      <c r="J118" s="13"/>
    </row>
    <row r="119" customFormat="false" ht="15" hidden="false" customHeight="false" outlineLevel="0" collapsed="false">
      <c r="A119" s="14" t="str">
        <f aca="false">IF(D119="","",ROW()-4)</f>
        <v/>
      </c>
      <c r="B119" s="15"/>
      <c r="C119" s="13"/>
      <c r="D119" s="13"/>
      <c r="E119" s="13"/>
      <c r="F119" s="13"/>
      <c r="G119" s="12"/>
      <c r="H119" s="15"/>
      <c r="I119" s="14" t="str">
        <f aca="true">IF(OR(B119="",D119=""),"",IF(H119="",TODAY()-B119,H119-B119))</f>
        <v/>
      </c>
      <c r="J119" s="13"/>
    </row>
    <row r="120" customFormat="false" ht="15" hidden="false" customHeight="false" outlineLevel="0" collapsed="false">
      <c r="A120" s="14" t="str">
        <f aca="false">IF(D120="","",ROW()-4)</f>
        <v/>
      </c>
      <c r="B120" s="15"/>
      <c r="C120" s="13"/>
      <c r="D120" s="13"/>
      <c r="E120" s="13"/>
      <c r="F120" s="13"/>
      <c r="G120" s="12"/>
      <c r="H120" s="15"/>
      <c r="I120" s="14" t="str">
        <f aca="true">IF(OR(B120="",D120=""),"",IF(H120="",TODAY()-B120,H120-B120))</f>
        <v/>
      </c>
      <c r="J120" s="13"/>
    </row>
    <row r="121" customFormat="false" ht="15" hidden="false" customHeight="false" outlineLevel="0" collapsed="false">
      <c r="A121" s="14" t="str">
        <f aca="false">IF(D121="","",ROW()-4)</f>
        <v/>
      </c>
      <c r="B121" s="15"/>
      <c r="C121" s="13"/>
      <c r="D121" s="13"/>
      <c r="E121" s="13"/>
      <c r="F121" s="13"/>
      <c r="G121" s="12"/>
      <c r="H121" s="15"/>
      <c r="I121" s="14" t="str">
        <f aca="true">IF(OR(B121="",D121=""),"",IF(H121="",TODAY()-B121,H121-B121))</f>
        <v/>
      </c>
      <c r="J121" s="13"/>
    </row>
    <row r="122" customFormat="false" ht="15" hidden="false" customHeight="false" outlineLevel="0" collapsed="false">
      <c r="A122" s="14" t="str">
        <f aca="false">IF(D122="","",ROW()-4)</f>
        <v/>
      </c>
      <c r="B122" s="15"/>
      <c r="C122" s="13"/>
      <c r="D122" s="13"/>
      <c r="E122" s="13"/>
      <c r="F122" s="13"/>
      <c r="G122" s="12"/>
      <c r="H122" s="15"/>
      <c r="I122" s="14" t="str">
        <f aca="true">IF(OR(B122="",D122=""),"",IF(H122="",TODAY()-B122,H122-B122))</f>
        <v/>
      </c>
      <c r="J122" s="13"/>
    </row>
    <row r="123" customFormat="false" ht="15" hidden="false" customHeight="false" outlineLevel="0" collapsed="false">
      <c r="A123" s="14" t="str">
        <f aca="false">IF(D123="","",ROW()-4)</f>
        <v/>
      </c>
      <c r="B123" s="15"/>
      <c r="C123" s="13"/>
      <c r="D123" s="13"/>
      <c r="E123" s="13"/>
      <c r="F123" s="13"/>
      <c r="G123" s="12"/>
      <c r="H123" s="15"/>
      <c r="I123" s="14" t="str">
        <f aca="true">IF(OR(B123="",D123=""),"",IF(H123="",TODAY()-B123,H123-B123))</f>
        <v/>
      </c>
      <c r="J123" s="13"/>
    </row>
    <row r="124" customFormat="false" ht="15" hidden="false" customHeight="false" outlineLevel="0" collapsed="false">
      <c r="A124" s="14" t="str">
        <f aca="false">IF(D124="","",ROW()-4)</f>
        <v/>
      </c>
      <c r="B124" s="15"/>
      <c r="C124" s="13"/>
      <c r="D124" s="13"/>
      <c r="E124" s="13"/>
      <c r="F124" s="13"/>
      <c r="G124" s="12"/>
      <c r="H124" s="15"/>
      <c r="I124" s="14" t="str">
        <f aca="true">IF(OR(B124="",D124=""),"",IF(H124="",TODAY()-B124,H124-B124))</f>
        <v/>
      </c>
      <c r="J124" s="13"/>
    </row>
    <row r="125" customFormat="false" ht="15" hidden="false" customHeight="false" outlineLevel="0" collapsed="false">
      <c r="A125" s="14" t="str">
        <f aca="false">IF(D125="","",ROW()-4)</f>
        <v/>
      </c>
      <c r="B125" s="15"/>
      <c r="C125" s="13"/>
      <c r="D125" s="13"/>
      <c r="E125" s="13"/>
      <c r="F125" s="13"/>
      <c r="G125" s="12"/>
      <c r="H125" s="15"/>
      <c r="I125" s="14" t="str">
        <f aca="true">IF(OR(B125="",D125=""),"",IF(H125="",TODAY()-B125,H125-B125))</f>
        <v/>
      </c>
      <c r="J125" s="13"/>
    </row>
    <row r="126" customFormat="false" ht="15" hidden="false" customHeight="false" outlineLevel="0" collapsed="false">
      <c r="A126" s="14" t="str">
        <f aca="false">IF(D126="","",ROW()-4)</f>
        <v/>
      </c>
      <c r="B126" s="15"/>
      <c r="C126" s="13"/>
      <c r="D126" s="13"/>
      <c r="E126" s="13"/>
      <c r="F126" s="13"/>
      <c r="G126" s="12"/>
      <c r="H126" s="15"/>
      <c r="I126" s="14" t="str">
        <f aca="true">IF(OR(B126="",D126=""),"",IF(H126="",TODAY()-B126,H126-B126))</f>
        <v/>
      </c>
      <c r="J126" s="13"/>
    </row>
    <row r="127" customFormat="false" ht="15" hidden="false" customHeight="false" outlineLevel="0" collapsed="false">
      <c r="A127" s="14" t="str">
        <f aca="false">IF(D127="","",ROW()-4)</f>
        <v/>
      </c>
      <c r="B127" s="15"/>
      <c r="C127" s="13"/>
      <c r="D127" s="13"/>
      <c r="E127" s="13"/>
      <c r="F127" s="13"/>
      <c r="G127" s="12"/>
      <c r="H127" s="15"/>
      <c r="I127" s="14" t="str">
        <f aca="true">IF(OR(B127="",D127=""),"",IF(H127="",TODAY()-B127,H127-B127))</f>
        <v/>
      </c>
      <c r="J127" s="13"/>
    </row>
    <row r="128" customFormat="false" ht="15" hidden="false" customHeight="false" outlineLevel="0" collapsed="false">
      <c r="A128" s="14" t="str">
        <f aca="false">IF(D128="","",ROW()-4)</f>
        <v/>
      </c>
      <c r="B128" s="15"/>
      <c r="C128" s="13"/>
      <c r="D128" s="13"/>
      <c r="E128" s="13"/>
      <c r="F128" s="13"/>
      <c r="G128" s="12"/>
      <c r="H128" s="15"/>
      <c r="I128" s="14" t="str">
        <f aca="true">IF(OR(B128="",D128=""),"",IF(H128="",TODAY()-B128,H128-B128))</f>
        <v/>
      </c>
      <c r="J128" s="13"/>
    </row>
    <row r="129" customFormat="false" ht="15" hidden="false" customHeight="false" outlineLevel="0" collapsed="false">
      <c r="A129" s="14" t="str">
        <f aca="false">IF(D129="","",ROW()-4)</f>
        <v/>
      </c>
      <c r="B129" s="15"/>
      <c r="C129" s="13"/>
      <c r="D129" s="13"/>
      <c r="E129" s="13"/>
      <c r="F129" s="13"/>
      <c r="G129" s="12"/>
      <c r="H129" s="15"/>
      <c r="I129" s="14" t="str">
        <f aca="true">IF(OR(B129="",D129=""),"",IF(H129="",TODAY()-B129,H129-B129))</f>
        <v/>
      </c>
      <c r="J129" s="13"/>
    </row>
    <row r="130" customFormat="false" ht="15" hidden="false" customHeight="false" outlineLevel="0" collapsed="false">
      <c r="A130" s="14" t="str">
        <f aca="false">IF(D130="","",ROW()-4)</f>
        <v/>
      </c>
      <c r="B130" s="15"/>
      <c r="C130" s="13"/>
      <c r="D130" s="13"/>
      <c r="E130" s="13"/>
      <c r="F130" s="13"/>
      <c r="G130" s="12"/>
      <c r="H130" s="15"/>
      <c r="I130" s="14" t="str">
        <f aca="true">IF(OR(B130="",D130=""),"",IF(H130="",TODAY()-B130,H130-B130))</f>
        <v/>
      </c>
      <c r="J130" s="13"/>
    </row>
    <row r="131" customFormat="false" ht="15" hidden="false" customHeight="false" outlineLevel="0" collapsed="false">
      <c r="A131" s="14" t="str">
        <f aca="false">IF(D131="","",ROW()-4)</f>
        <v/>
      </c>
      <c r="B131" s="15"/>
      <c r="C131" s="13"/>
      <c r="D131" s="13"/>
      <c r="E131" s="13"/>
      <c r="F131" s="13"/>
      <c r="G131" s="12"/>
      <c r="H131" s="15"/>
      <c r="I131" s="14" t="str">
        <f aca="true">IF(OR(B131="",D131=""),"",IF(H131="",TODAY()-B131,H131-B131))</f>
        <v/>
      </c>
      <c r="J131" s="13"/>
    </row>
    <row r="132" customFormat="false" ht="15" hidden="false" customHeight="false" outlineLevel="0" collapsed="false">
      <c r="A132" s="14" t="str">
        <f aca="false">IF(D132="","",ROW()-4)</f>
        <v/>
      </c>
      <c r="B132" s="15"/>
      <c r="C132" s="13"/>
      <c r="D132" s="13"/>
      <c r="E132" s="13"/>
      <c r="F132" s="13"/>
      <c r="G132" s="12"/>
      <c r="H132" s="15"/>
      <c r="I132" s="14" t="str">
        <f aca="true">IF(OR(B132="",D132=""),"",IF(H132="",TODAY()-B132,H132-B132))</f>
        <v/>
      </c>
      <c r="J132" s="13"/>
    </row>
    <row r="133" customFormat="false" ht="15" hidden="false" customHeight="false" outlineLevel="0" collapsed="false">
      <c r="A133" s="14" t="str">
        <f aca="false">IF(D133="","",ROW()-4)</f>
        <v/>
      </c>
      <c r="B133" s="15"/>
      <c r="C133" s="13"/>
      <c r="D133" s="13"/>
      <c r="E133" s="13"/>
      <c r="F133" s="13"/>
      <c r="G133" s="12"/>
      <c r="H133" s="15"/>
      <c r="I133" s="14" t="str">
        <f aca="true">IF(OR(B133="",D133=""),"",IF(H133="",TODAY()-B133,H133-B133))</f>
        <v/>
      </c>
      <c r="J133" s="13"/>
    </row>
    <row r="134" customFormat="false" ht="15" hidden="false" customHeight="false" outlineLevel="0" collapsed="false">
      <c r="A134" s="14" t="str">
        <f aca="false">IF(D134="","",ROW()-4)</f>
        <v/>
      </c>
      <c r="B134" s="15"/>
      <c r="C134" s="13"/>
      <c r="D134" s="13"/>
      <c r="E134" s="13"/>
      <c r="F134" s="13"/>
      <c r="G134" s="12"/>
      <c r="H134" s="15"/>
      <c r="I134" s="14" t="str">
        <f aca="true">IF(OR(B134="",D134=""),"",IF(H134="",TODAY()-B134,H134-B134))</f>
        <v/>
      </c>
      <c r="J134" s="13"/>
    </row>
    <row r="135" customFormat="false" ht="15" hidden="false" customHeight="false" outlineLevel="0" collapsed="false">
      <c r="A135" s="14" t="str">
        <f aca="false">IF(D135="","",ROW()-4)</f>
        <v/>
      </c>
      <c r="B135" s="15"/>
      <c r="C135" s="13"/>
      <c r="D135" s="13"/>
      <c r="E135" s="13"/>
      <c r="F135" s="13"/>
      <c r="G135" s="12"/>
      <c r="H135" s="15"/>
      <c r="I135" s="14" t="str">
        <f aca="true">IF(OR(B135="",D135=""),"",IF(H135="",TODAY()-B135,H135-B135))</f>
        <v/>
      </c>
      <c r="J135" s="13"/>
    </row>
    <row r="136" customFormat="false" ht="15" hidden="false" customHeight="false" outlineLevel="0" collapsed="false">
      <c r="A136" s="14" t="str">
        <f aca="false">IF(D136="","",ROW()-4)</f>
        <v/>
      </c>
      <c r="B136" s="15"/>
      <c r="C136" s="13"/>
      <c r="D136" s="13"/>
      <c r="E136" s="13"/>
      <c r="F136" s="13"/>
      <c r="G136" s="12"/>
      <c r="H136" s="15"/>
      <c r="I136" s="14" t="str">
        <f aca="true">IF(OR(B136="",D136=""),"",IF(H136="",TODAY()-B136,H136-B136))</f>
        <v/>
      </c>
      <c r="J136" s="13"/>
    </row>
    <row r="137" customFormat="false" ht="15" hidden="false" customHeight="false" outlineLevel="0" collapsed="false">
      <c r="A137" s="14" t="str">
        <f aca="false">IF(D137="","",ROW()-4)</f>
        <v/>
      </c>
      <c r="B137" s="15"/>
      <c r="C137" s="13"/>
      <c r="D137" s="13"/>
      <c r="E137" s="13"/>
      <c r="F137" s="13"/>
      <c r="G137" s="12"/>
      <c r="H137" s="15"/>
      <c r="I137" s="14" t="str">
        <f aca="true">IF(OR(B137="",D137=""),"",IF(H137="",TODAY()-B137,H137-B137))</f>
        <v/>
      </c>
      <c r="J137" s="13"/>
    </row>
    <row r="138" customFormat="false" ht="15" hidden="false" customHeight="false" outlineLevel="0" collapsed="false">
      <c r="A138" s="14" t="str">
        <f aca="false">IF(D138="","",ROW()-4)</f>
        <v/>
      </c>
      <c r="B138" s="15"/>
      <c r="C138" s="13"/>
      <c r="D138" s="13"/>
      <c r="E138" s="13"/>
      <c r="F138" s="13"/>
      <c r="G138" s="12"/>
      <c r="H138" s="15"/>
      <c r="I138" s="14" t="str">
        <f aca="true">IF(OR(B138="",D138=""),"",IF(H138="",TODAY()-B138,H138-B138))</f>
        <v/>
      </c>
      <c r="J138" s="13"/>
    </row>
    <row r="139" customFormat="false" ht="15" hidden="false" customHeight="false" outlineLevel="0" collapsed="false">
      <c r="A139" s="14" t="str">
        <f aca="false">IF(D139="","",ROW()-4)</f>
        <v/>
      </c>
      <c r="B139" s="15"/>
      <c r="C139" s="13"/>
      <c r="D139" s="13"/>
      <c r="E139" s="13"/>
      <c r="F139" s="13"/>
      <c r="G139" s="12"/>
      <c r="H139" s="15"/>
      <c r="I139" s="14" t="str">
        <f aca="true">IF(OR(B139="",D139=""),"",IF(H139="",TODAY()-B139,H139-B139))</f>
        <v/>
      </c>
      <c r="J139" s="13"/>
    </row>
    <row r="140" customFormat="false" ht="15" hidden="false" customHeight="false" outlineLevel="0" collapsed="false">
      <c r="A140" s="14" t="str">
        <f aca="false">IF(D140="","",ROW()-4)</f>
        <v/>
      </c>
      <c r="B140" s="15"/>
      <c r="C140" s="13"/>
      <c r="D140" s="13"/>
      <c r="E140" s="13"/>
      <c r="F140" s="13"/>
      <c r="G140" s="12"/>
      <c r="H140" s="15"/>
      <c r="I140" s="14" t="str">
        <f aca="true">IF(OR(B140="",D140=""),"",IF(H140="",TODAY()-B140,H140-B140))</f>
        <v/>
      </c>
      <c r="J140" s="13"/>
    </row>
    <row r="141" customFormat="false" ht="15" hidden="false" customHeight="false" outlineLevel="0" collapsed="false">
      <c r="A141" s="14" t="str">
        <f aca="false">IF(D141="","",ROW()-4)</f>
        <v/>
      </c>
      <c r="B141" s="15"/>
      <c r="C141" s="13"/>
      <c r="D141" s="13"/>
      <c r="E141" s="13"/>
      <c r="F141" s="13"/>
      <c r="G141" s="12"/>
      <c r="H141" s="15"/>
      <c r="I141" s="14" t="str">
        <f aca="true">IF(OR(B141="",D141=""),"",IF(H141="",TODAY()-B141,H141-B141))</f>
        <v/>
      </c>
      <c r="J141" s="13"/>
    </row>
    <row r="142" customFormat="false" ht="15" hidden="false" customHeight="false" outlineLevel="0" collapsed="false">
      <c r="A142" s="14" t="str">
        <f aca="false">IF(D142="","",ROW()-4)</f>
        <v/>
      </c>
      <c r="B142" s="15"/>
      <c r="C142" s="13"/>
      <c r="D142" s="13"/>
      <c r="E142" s="13"/>
      <c r="F142" s="13"/>
      <c r="G142" s="12"/>
      <c r="H142" s="15"/>
      <c r="I142" s="14" t="str">
        <f aca="true">IF(OR(B142="",D142=""),"",IF(H142="",TODAY()-B142,H142-B142))</f>
        <v/>
      </c>
      <c r="J142" s="13"/>
    </row>
    <row r="143" customFormat="false" ht="15" hidden="false" customHeight="false" outlineLevel="0" collapsed="false">
      <c r="A143" s="14" t="str">
        <f aca="false">IF(D143="","",ROW()-4)</f>
        <v/>
      </c>
      <c r="B143" s="15"/>
      <c r="C143" s="13"/>
      <c r="D143" s="13"/>
      <c r="E143" s="13"/>
      <c r="F143" s="13"/>
      <c r="G143" s="12"/>
      <c r="H143" s="15"/>
      <c r="I143" s="14" t="str">
        <f aca="true">IF(OR(B143="",D143=""),"",IF(H143="",TODAY()-B143,H143-B143))</f>
        <v/>
      </c>
      <c r="J143" s="13"/>
    </row>
    <row r="144" customFormat="false" ht="15" hidden="false" customHeight="false" outlineLevel="0" collapsed="false">
      <c r="A144" s="14" t="str">
        <f aca="false">IF(D144="","",ROW()-4)</f>
        <v/>
      </c>
      <c r="B144" s="15"/>
      <c r="C144" s="13"/>
      <c r="D144" s="13"/>
      <c r="E144" s="13"/>
      <c r="F144" s="13"/>
      <c r="G144" s="12"/>
      <c r="H144" s="15"/>
      <c r="I144" s="14" t="str">
        <f aca="true">IF(OR(B144="",D144=""),"",IF(H144="",TODAY()-B144,H144-B144))</f>
        <v/>
      </c>
      <c r="J144" s="13"/>
    </row>
    <row r="145" customFormat="false" ht="15" hidden="false" customHeight="false" outlineLevel="0" collapsed="false">
      <c r="A145" s="14" t="str">
        <f aca="false">IF(D145="","",ROW()-4)</f>
        <v/>
      </c>
      <c r="B145" s="15"/>
      <c r="C145" s="13"/>
      <c r="D145" s="13"/>
      <c r="E145" s="13"/>
      <c r="F145" s="13"/>
      <c r="G145" s="12"/>
      <c r="H145" s="15"/>
      <c r="I145" s="14" t="str">
        <f aca="true">IF(OR(B145="",D145=""),"",IF(H145="",TODAY()-B145,H145-B145))</f>
        <v/>
      </c>
      <c r="J145" s="13"/>
    </row>
    <row r="146" customFormat="false" ht="15" hidden="false" customHeight="false" outlineLevel="0" collapsed="false">
      <c r="A146" s="14" t="str">
        <f aca="false">IF(D146="","",ROW()-4)</f>
        <v/>
      </c>
      <c r="B146" s="15"/>
      <c r="C146" s="13"/>
      <c r="D146" s="13"/>
      <c r="E146" s="13"/>
      <c r="F146" s="13"/>
      <c r="G146" s="12"/>
      <c r="H146" s="15"/>
      <c r="I146" s="14" t="str">
        <f aca="true">IF(OR(B146="",D146=""),"",IF(H146="",TODAY()-B146,H146-B146))</f>
        <v/>
      </c>
      <c r="J146" s="13"/>
    </row>
    <row r="147" customFormat="false" ht="15" hidden="false" customHeight="false" outlineLevel="0" collapsed="false">
      <c r="A147" s="14" t="str">
        <f aca="false">IF(D147="","",ROW()-4)</f>
        <v/>
      </c>
      <c r="B147" s="15"/>
      <c r="C147" s="13"/>
      <c r="D147" s="13"/>
      <c r="E147" s="13"/>
      <c r="F147" s="13"/>
      <c r="G147" s="12"/>
      <c r="H147" s="15"/>
      <c r="I147" s="14" t="str">
        <f aca="true">IF(OR(B147="",D147=""),"",IF(H147="",TODAY()-B147,H147-B147))</f>
        <v/>
      </c>
      <c r="J147" s="13"/>
    </row>
    <row r="148" customFormat="false" ht="15" hidden="false" customHeight="false" outlineLevel="0" collapsed="false">
      <c r="A148" s="14" t="str">
        <f aca="false">IF(D148="","",ROW()-4)</f>
        <v/>
      </c>
      <c r="B148" s="15"/>
      <c r="C148" s="13"/>
      <c r="D148" s="13"/>
      <c r="E148" s="13"/>
      <c r="F148" s="13"/>
      <c r="G148" s="12"/>
      <c r="H148" s="15"/>
      <c r="I148" s="14" t="str">
        <f aca="true">IF(OR(B148="",D148=""),"",IF(H148="",TODAY()-B148,H148-B148))</f>
        <v/>
      </c>
      <c r="J148" s="13"/>
    </row>
    <row r="149" customFormat="false" ht="15" hidden="false" customHeight="false" outlineLevel="0" collapsed="false">
      <c r="A149" s="14" t="str">
        <f aca="false">IF(D149="","",ROW()-4)</f>
        <v/>
      </c>
      <c r="B149" s="15"/>
      <c r="C149" s="13"/>
      <c r="D149" s="13"/>
      <c r="E149" s="13"/>
      <c r="F149" s="13"/>
      <c r="G149" s="12"/>
      <c r="H149" s="15"/>
      <c r="I149" s="14" t="str">
        <f aca="true">IF(OR(B149="",D149=""),"",IF(H149="",TODAY()-B149,H149-B149))</f>
        <v/>
      </c>
      <c r="J149" s="13"/>
    </row>
    <row r="150" customFormat="false" ht="15" hidden="false" customHeight="false" outlineLevel="0" collapsed="false">
      <c r="A150" s="14" t="str">
        <f aca="false">IF(D150="","",ROW()-4)</f>
        <v/>
      </c>
      <c r="B150" s="15"/>
      <c r="C150" s="13"/>
      <c r="D150" s="13"/>
      <c r="E150" s="13"/>
      <c r="F150" s="13"/>
      <c r="G150" s="12"/>
      <c r="H150" s="15"/>
      <c r="I150" s="14" t="str">
        <f aca="true">IF(OR(B150="",D150=""),"",IF(H150="",TODAY()-B150,H150-B150))</f>
        <v/>
      </c>
      <c r="J150" s="13"/>
    </row>
    <row r="151" customFormat="false" ht="15" hidden="false" customHeight="false" outlineLevel="0" collapsed="false">
      <c r="A151" s="14" t="str">
        <f aca="false">IF(D151="","",ROW()-4)</f>
        <v/>
      </c>
      <c r="B151" s="15"/>
      <c r="C151" s="13"/>
      <c r="D151" s="13"/>
      <c r="E151" s="13"/>
      <c r="F151" s="13"/>
      <c r="G151" s="12"/>
      <c r="H151" s="15"/>
      <c r="I151" s="14" t="str">
        <f aca="true">IF(OR(B151="",D151=""),"",IF(H151="",TODAY()-B151,H151-B151))</f>
        <v/>
      </c>
      <c r="J151" s="13"/>
    </row>
    <row r="152" customFormat="false" ht="15" hidden="false" customHeight="false" outlineLevel="0" collapsed="false">
      <c r="A152" s="14" t="str">
        <f aca="false">IF(D152="","",ROW()-4)</f>
        <v/>
      </c>
      <c r="B152" s="15"/>
      <c r="C152" s="13"/>
      <c r="D152" s="13"/>
      <c r="E152" s="13"/>
      <c r="F152" s="13"/>
      <c r="G152" s="12"/>
      <c r="H152" s="15"/>
      <c r="I152" s="14" t="str">
        <f aca="true">IF(OR(B152="",D152=""),"",IF(H152="",TODAY()-B152,H152-B152))</f>
        <v/>
      </c>
      <c r="J152" s="13"/>
    </row>
    <row r="153" customFormat="false" ht="15" hidden="false" customHeight="false" outlineLevel="0" collapsed="false">
      <c r="A153" s="14" t="str">
        <f aca="false">IF(D153="","",ROW()-4)</f>
        <v/>
      </c>
      <c r="B153" s="15"/>
      <c r="C153" s="13"/>
      <c r="D153" s="13"/>
      <c r="E153" s="13"/>
      <c r="F153" s="13"/>
      <c r="G153" s="12"/>
      <c r="H153" s="15"/>
      <c r="I153" s="14" t="str">
        <f aca="true">IF(OR(B153="",D153=""),"",IF(H153="",TODAY()-B153,H153-B153))</f>
        <v/>
      </c>
      <c r="J153" s="13"/>
    </row>
    <row r="154" customFormat="false" ht="15" hidden="false" customHeight="false" outlineLevel="0" collapsed="false">
      <c r="A154" s="14" t="str">
        <f aca="false">IF(D154="","",ROW()-4)</f>
        <v/>
      </c>
      <c r="B154" s="15"/>
      <c r="C154" s="13"/>
      <c r="D154" s="13"/>
      <c r="E154" s="13"/>
      <c r="F154" s="13"/>
      <c r="G154" s="12"/>
      <c r="H154" s="15"/>
      <c r="I154" s="14" t="str">
        <f aca="true">IF(OR(B154="",D154=""),"",IF(H154="",TODAY()-B154,H154-B154))</f>
        <v/>
      </c>
      <c r="J154" s="13"/>
    </row>
    <row r="155" customFormat="false" ht="15" hidden="false" customHeight="false" outlineLevel="0" collapsed="false">
      <c r="A155" s="14" t="str">
        <f aca="false">IF(D155="","",ROW()-4)</f>
        <v/>
      </c>
      <c r="B155" s="15"/>
      <c r="C155" s="13"/>
      <c r="D155" s="13"/>
      <c r="E155" s="13"/>
      <c r="F155" s="13"/>
      <c r="G155" s="12"/>
      <c r="H155" s="15"/>
      <c r="I155" s="14" t="str">
        <f aca="true">IF(OR(B155="",D155=""),"",IF(H155="",TODAY()-B155,H155-B155))</f>
        <v/>
      </c>
      <c r="J155" s="13"/>
    </row>
    <row r="156" customFormat="false" ht="15" hidden="false" customHeight="false" outlineLevel="0" collapsed="false">
      <c r="A156" s="14" t="str">
        <f aca="false">IF(D156="","",ROW()-4)</f>
        <v/>
      </c>
      <c r="B156" s="15"/>
      <c r="C156" s="13"/>
      <c r="D156" s="13"/>
      <c r="E156" s="13"/>
      <c r="F156" s="13"/>
      <c r="G156" s="12"/>
      <c r="H156" s="15"/>
      <c r="I156" s="14" t="str">
        <f aca="true">IF(OR(B156="",D156=""),"",IF(H156="",TODAY()-B156,H156-B156))</f>
        <v/>
      </c>
      <c r="J156" s="13"/>
    </row>
    <row r="157" customFormat="false" ht="15" hidden="false" customHeight="false" outlineLevel="0" collapsed="false">
      <c r="A157" s="14" t="str">
        <f aca="false">IF(D157="","",ROW()-4)</f>
        <v/>
      </c>
      <c r="B157" s="15"/>
      <c r="C157" s="13"/>
      <c r="D157" s="13"/>
      <c r="E157" s="13"/>
      <c r="F157" s="13"/>
      <c r="G157" s="12"/>
      <c r="H157" s="15"/>
      <c r="I157" s="14" t="str">
        <f aca="true">IF(OR(B157="",D157=""),"",IF(H157="",TODAY()-B157,H157-B157))</f>
        <v/>
      </c>
      <c r="J157" s="13"/>
    </row>
    <row r="158" customFormat="false" ht="15" hidden="false" customHeight="false" outlineLevel="0" collapsed="false">
      <c r="A158" s="14" t="str">
        <f aca="false">IF(D158="","",ROW()-4)</f>
        <v/>
      </c>
      <c r="B158" s="15"/>
      <c r="C158" s="13"/>
      <c r="D158" s="13"/>
      <c r="E158" s="13"/>
      <c r="F158" s="13"/>
      <c r="G158" s="12"/>
      <c r="H158" s="15"/>
      <c r="I158" s="14" t="str">
        <f aca="true">IF(OR(B158="",D158=""),"",IF(H158="",TODAY()-B158,H158-B158))</f>
        <v/>
      </c>
      <c r="J158" s="13"/>
    </row>
    <row r="159" customFormat="false" ht="15" hidden="false" customHeight="false" outlineLevel="0" collapsed="false">
      <c r="A159" s="14" t="str">
        <f aca="false">IF(D159="","",ROW()-4)</f>
        <v/>
      </c>
      <c r="B159" s="15"/>
      <c r="C159" s="13"/>
      <c r="D159" s="13"/>
      <c r="E159" s="13"/>
      <c r="F159" s="13"/>
      <c r="G159" s="12"/>
      <c r="H159" s="15"/>
      <c r="I159" s="14" t="str">
        <f aca="true">IF(OR(B159="",D159=""),"",IF(H159="",TODAY()-B159,H159-B159))</f>
        <v/>
      </c>
      <c r="J159" s="13"/>
    </row>
    <row r="160" customFormat="false" ht="15" hidden="false" customHeight="false" outlineLevel="0" collapsed="false">
      <c r="A160" s="14" t="str">
        <f aca="false">IF(D160="","",ROW()-4)</f>
        <v/>
      </c>
      <c r="B160" s="15"/>
      <c r="C160" s="13"/>
      <c r="D160" s="13"/>
      <c r="E160" s="13"/>
      <c r="F160" s="13"/>
      <c r="G160" s="12"/>
      <c r="H160" s="15"/>
      <c r="I160" s="14" t="str">
        <f aca="true">IF(OR(B160="",D160=""),"",IF(H160="",TODAY()-B160,H160-B160))</f>
        <v/>
      </c>
      <c r="J160" s="13"/>
    </row>
    <row r="161" customFormat="false" ht="15" hidden="false" customHeight="false" outlineLevel="0" collapsed="false">
      <c r="A161" s="14" t="str">
        <f aca="false">IF(D161="","",ROW()-4)</f>
        <v/>
      </c>
      <c r="B161" s="15"/>
      <c r="C161" s="13"/>
      <c r="D161" s="13"/>
      <c r="E161" s="13"/>
      <c r="F161" s="13"/>
      <c r="G161" s="12"/>
      <c r="H161" s="15"/>
      <c r="I161" s="14" t="str">
        <f aca="true">IF(OR(B161="",D161=""),"",IF(H161="",TODAY()-B161,H161-B161))</f>
        <v/>
      </c>
      <c r="J161" s="13"/>
    </row>
    <row r="162" customFormat="false" ht="15" hidden="false" customHeight="false" outlineLevel="0" collapsed="false">
      <c r="A162" s="14" t="str">
        <f aca="false">IF(D162="","",ROW()-4)</f>
        <v/>
      </c>
      <c r="B162" s="15"/>
      <c r="C162" s="13"/>
      <c r="D162" s="13"/>
      <c r="E162" s="13"/>
      <c r="F162" s="13"/>
      <c r="G162" s="12"/>
      <c r="H162" s="15"/>
      <c r="I162" s="14" t="str">
        <f aca="true">IF(OR(B162="",D162=""),"",IF(H162="",TODAY()-B162,H162-B162))</f>
        <v/>
      </c>
      <c r="J162" s="13"/>
    </row>
    <row r="163" customFormat="false" ht="15" hidden="false" customHeight="false" outlineLevel="0" collapsed="false">
      <c r="A163" s="14" t="str">
        <f aca="false">IF(D163="","",ROW()-4)</f>
        <v/>
      </c>
      <c r="B163" s="15"/>
      <c r="C163" s="13"/>
      <c r="D163" s="13"/>
      <c r="E163" s="13"/>
      <c r="F163" s="13"/>
      <c r="G163" s="12"/>
      <c r="H163" s="15"/>
      <c r="I163" s="14" t="str">
        <f aca="true">IF(OR(B163="",D163=""),"",IF(H163="",TODAY()-B163,H163-B163))</f>
        <v/>
      </c>
      <c r="J163" s="13"/>
    </row>
    <row r="164" customFormat="false" ht="15" hidden="false" customHeight="false" outlineLevel="0" collapsed="false">
      <c r="A164" s="14" t="str">
        <f aca="false">IF(D164="","",ROW()-4)</f>
        <v/>
      </c>
      <c r="B164" s="15"/>
      <c r="C164" s="13"/>
      <c r="D164" s="13"/>
      <c r="E164" s="13"/>
      <c r="F164" s="13"/>
      <c r="G164" s="12"/>
      <c r="H164" s="15"/>
      <c r="I164" s="14" t="str">
        <f aca="true">IF(OR(B164="",D164=""),"",IF(H164="",TODAY()-B164,H164-B164))</f>
        <v/>
      </c>
      <c r="J164" s="13"/>
    </row>
    <row r="165" customFormat="false" ht="15" hidden="false" customHeight="false" outlineLevel="0" collapsed="false">
      <c r="A165" s="14" t="str">
        <f aca="false">IF(D165="","",ROW()-4)</f>
        <v/>
      </c>
      <c r="B165" s="15"/>
      <c r="C165" s="13"/>
      <c r="D165" s="13"/>
      <c r="E165" s="13"/>
      <c r="F165" s="13"/>
      <c r="G165" s="12"/>
      <c r="H165" s="15"/>
      <c r="I165" s="14" t="str">
        <f aca="true">IF(OR(B165="",D165=""),"",IF(H165="",TODAY()-B165,H165-B165))</f>
        <v/>
      </c>
      <c r="J165" s="13"/>
    </row>
    <row r="166" customFormat="false" ht="15" hidden="false" customHeight="false" outlineLevel="0" collapsed="false">
      <c r="A166" s="14" t="str">
        <f aca="false">IF(D166="","",ROW()-4)</f>
        <v/>
      </c>
      <c r="B166" s="15"/>
      <c r="C166" s="13"/>
      <c r="D166" s="13"/>
      <c r="E166" s="13"/>
      <c r="F166" s="13"/>
      <c r="G166" s="12"/>
      <c r="H166" s="15"/>
      <c r="I166" s="14" t="str">
        <f aca="true">IF(OR(B166="",D166=""),"",IF(H166="",TODAY()-B166,H166-B166))</f>
        <v/>
      </c>
      <c r="J166" s="13"/>
    </row>
    <row r="167" customFormat="false" ht="15" hidden="false" customHeight="false" outlineLevel="0" collapsed="false">
      <c r="A167" s="14" t="str">
        <f aca="false">IF(D167="","",ROW()-4)</f>
        <v/>
      </c>
      <c r="B167" s="15"/>
      <c r="C167" s="13"/>
      <c r="D167" s="13"/>
      <c r="E167" s="13"/>
      <c r="F167" s="13"/>
      <c r="G167" s="12"/>
      <c r="H167" s="15"/>
      <c r="I167" s="14" t="str">
        <f aca="true">IF(OR(B167="",D167=""),"",IF(H167="",TODAY()-B167,H167-B167))</f>
        <v/>
      </c>
      <c r="J167" s="13"/>
    </row>
    <row r="168" customFormat="false" ht="15" hidden="false" customHeight="false" outlineLevel="0" collapsed="false">
      <c r="A168" s="14" t="str">
        <f aca="false">IF(D168="","",ROW()-4)</f>
        <v/>
      </c>
      <c r="B168" s="15"/>
      <c r="C168" s="13"/>
      <c r="D168" s="13"/>
      <c r="E168" s="13"/>
      <c r="F168" s="13"/>
      <c r="G168" s="12"/>
      <c r="H168" s="15"/>
      <c r="I168" s="14" t="str">
        <f aca="true">IF(OR(B168="",D168=""),"",IF(H168="",TODAY()-B168,H168-B168))</f>
        <v/>
      </c>
      <c r="J168" s="13"/>
    </row>
    <row r="169" customFormat="false" ht="15" hidden="false" customHeight="false" outlineLevel="0" collapsed="false">
      <c r="A169" s="14" t="str">
        <f aca="false">IF(D169="","",ROW()-4)</f>
        <v/>
      </c>
      <c r="B169" s="15"/>
      <c r="C169" s="13"/>
      <c r="D169" s="13"/>
      <c r="E169" s="13"/>
      <c r="F169" s="13"/>
      <c r="G169" s="12"/>
      <c r="H169" s="15"/>
      <c r="I169" s="14" t="str">
        <f aca="true">IF(OR(B169="",D169=""),"",IF(H169="",TODAY()-B169,H169-B169))</f>
        <v/>
      </c>
      <c r="J169" s="13"/>
    </row>
    <row r="170" customFormat="false" ht="15" hidden="false" customHeight="false" outlineLevel="0" collapsed="false">
      <c r="A170" s="14" t="str">
        <f aca="false">IF(D170="","",ROW()-4)</f>
        <v/>
      </c>
      <c r="B170" s="15"/>
      <c r="C170" s="13"/>
      <c r="D170" s="13"/>
      <c r="E170" s="13"/>
      <c r="F170" s="13"/>
      <c r="G170" s="12"/>
      <c r="H170" s="15"/>
      <c r="I170" s="14" t="str">
        <f aca="true">IF(OR(B170="",D170=""),"",IF(H170="",TODAY()-B170,H170-B170))</f>
        <v/>
      </c>
      <c r="J170" s="13"/>
    </row>
    <row r="171" customFormat="false" ht="15" hidden="false" customHeight="false" outlineLevel="0" collapsed="false">
      <c r="A171" s="14" t="str">
        <f aca="false">IF(D171="","",ROW()-4)</f>
        <v/>
      </c>
      <c r="B171" s="15"/>
      <c r="C171" s="13"/>
      <c r="D171" s="13"/>
      <c r="E171" s="13"/>
      <c r="F171" s="13"/>
      <c r="G171" s="12"/>
      <c r="H171" s="15"/>
      <c r="I171" s="14" t="str">
        <f aca="true">IF(OR(B171="",D171=""),"",IF(H171="",TODAY()-B171,H171-B171))</f>
        <v/>
      </c>
      <c r="J171" s="13"/>
    </row>
    <row r="172" customFormat="false" ht="15" hidden="false" customHeight="false" outlineLevel="0" collapsed="false">
      <c r="A172" s="14" t="str">
        <f aca="false">IF(D172="","",ROW()-4)</f>
        <v/>
      </c>
      <c r="B172" s="15"/>
      <c r="C172" s="13"/>
      <c r="D172" s="13"/>
      <c r="E172" s="13"/>
      <c r="F172" s="13"/>
      <c r="G172" s="12"/>
      <c r="H172" s="15"/>
      <c r="I172" s="14" t="str">
        <f aca="true">IF(OR(B172="",D172=""),"",IF(H172="",TODAY()-B172,H172-B172))</f>
        <v/>
      </c>
      <c r="J172" s="13"/>
    </row>
    <row r="173" customFormat="false" ht="15" hidden="false" customHeight="false" outlineLevel="0" collapsed="false">
      <c r="A173" s="14" t="str">
        <f aca="false">IF(D173="","",ROW()-4)</f>
        <v/>
      </c>
      <c r="B173" s="15"/>
      <c r="C173" s="13"/>
      <c r="D173" s="13"/>
      <c r="E173" s="13"/>
      <c r="F173" s="13"/>
      <c r="G173" s="12"/>
      <c r="H173" s="15"/>
      <c r="I173" s="14" t="str">
        <f aca="true">IF(OR(B173="",D173=""),"",IF(H173="",TODAY()-B173,H173-B173))</f>
        <v/>
      </c>
      <c r="J173" s="13"/>
    </row>
    <row r="174" customFormat="false" ht="15" hidden="false" customHeight="false" outlineLevel="0" collapsed="false">
      <c r="A174" s="14" t="str">
        <f aca="false">IF(D174="","",ROW()-4)</f>
        <v/>
      </c>
      <c r="B174" s="15"/>
      <c r="C174" s="13"/>
      <c r="D174" s="13"/>
      <c r="E174" s="13"/>
      <c r="F174" s="13"/>
      <c r="G174" s="12"/>
      <c r="H174" s="15"/>
      <c r="I174" s="14" t="str">
        <f aca="true">IF(OR(B174="",D174=""),"",IF(H174="",TODAY()-B174,H174-B174))</f>
        <v/>
      </c>
      <c r="J174" s="13"/>
    </row>
    <row r="175" customFormat="false" ht="15" hidden="false" customHeight="false" outlineLevel="0" collapsed="false">
      <c r="A175" s="14" t="str">
        <f aca="false">IF(D175="","",ROW()-4)</f>
        <v/>
      </c>
      <c r="B175" s="15"/>
      <c r="C175" s="13"/>
      <c r="D175" s="13"/>
      <c r="E175" s="13"/>
      <c r="F175" s="13"/>
      <c r="G175" s="12"/>
      <c r="H175" s="15"/>
      <c r="I175" s="14" t="str">
        <f aca="true">IF(OR(B175="",D175=""),"",IF(H175="",TODAY()-B175,H175-B175))</f>
        <v/>
      </c>
      <c r="J175" s="13"/>
    </row>
    <row r="176" customFormat="false" ht="15" hidden="false" customHeight="false" outlineLevel="0" collapsed="false">
      <c r="A176" s="14" t="str">
        <f aca="false">IF(D176="","",ROW()-4)</f>
        <v/>
      </c>
      <c r="B176" s="15"/>
      <c r="C176" s="13"/>
      <c r="D176" s="13"/>
      <c r="E176" s="13"/>
      <c r="F176" s="13"/>
      <c r="G176" s="12"/>
      <c r="H176" s="15"/>
      <c r="I176" s="14" t="str">
        <f aca="true">IF(OR(B176="",D176=""),"",IF(H176="",TODAY()-B176,H176-B176))</f>
        <v/>
      </c>
      <c r="J176" s="13"/>
    </row>
    <row r="177" customFormat="false" ht="15" hidden="false" customHeight="false" outlineLevel="0" collapsed="false">
      <c r="A177" s="14" t="str">
        <f aca="false">IF(D177="","",ROW()-4)</f>
        <v/>
      </c>
      <c r="B177" s="15"/>
      <c r="C177" s="13"/>
      <c r="D177" s="13"/>
      <c r="E177" s="13"/>
      <c r="F177" s="13"/>
      <c r="G177" s="12"/>
      <c r="H177" s="15"/>
      <c r="I177" s="14" t="str">
        <f aca="true">IF(OR(B177="",D177=""),"",IF(H177="",TODAY()-B177,H177-B177))</f>
        <v/>
      </c>
      <c r="J177" s="13"/>
    </row>
    <row r="178" customFormat="false" ht="15" hidden="false" customHeight="false" outlineLevel="0" collapsed="false">
      <c r="A178" s="14" t="str">
        <f aca="false">IF(D178="","",ROW()-4)</f>
        <v/>
      </c>
      <c r="B178" s="15"/>
      <c r="C178" s="13"/>
      <c r="D178" s="13"/>
      <c r="E178" s="13"/>
      <c r="F178" s="13"/>
      <c r="G178" s="12"/>
      <c r="H178" s="15"/>
      <c r="I178" s="14" t="str">
        <f aca="true">IF(OR(B178="",D178=""),"",IF(H178="",TODAY()-B178,H178-B178))</f>
        <v/>
      </c>
      <c r="J178" s="13"/>
    </row>
    <row r="179" customFormat="false" ht="15" hidden="false" customHeight="false" outlineLevel="0" collapsed="false">
      <c r="A179" s="14" t="str">
        <f aca="false">IF(D179="","",ROW()-4)</f>
        <v/>
      </c>
      <c r="B179" s="15"/>
      <c r="C179" s="13"/>
      <c r="D179" s="13"/>
      <c r="E179" s="13"/>
      <c r="F179" s="13"/>
      <c r="G179" s="12"/>
      <c r="H179" s="15"/>
      <c r="I179" s="14" t="str">
        <f aca="true">IF(OR(B179="",D179=""),"",IF(H179="",TODAY()-B179,H179-B179))</f>
        <v/>
      </c>
      <c r="J179" s="13"/>
    </row>
    <row r="180" customFormat="false" ht="15" hidden="false" customHeight="false" outlineLevel="0" collapsed="false">
      <c r="A180" s="14" t="str">
        <f aca="false">IF(D180="","",ROW()-4)</f>
        <v/>
      </c>
      <c r="B180" s="15"/>
      <c r="C180" s="13"/>
      <c r="D180" s="13"/>
      <c r="E180" s="13"/>
      <c r="F180" s="13"/>
      <c r="G180" s="12"/>
      <c r="H180" s="15"/>
      <c r="I180" s="14" t="str">
        <f aca="true">IF(OR(B180="",D180=""),"",IF(H180="",TODAY()-B180,H180-B180))</f>
        <v/>
      </c>
      <c r="J180" s="13"/>
    </row>
    <row r="181" customFormat="false" ht="15" hidden="false" customHeight="false" outlineLevel="0" collapsed="false">
      <c r="A181" s="14" t="str">
        <f aca="false">IF(D181="","",ROW()-4)</f>
        <v/>
      </c>
      <c r="B181" s="15"/>
      <c r="C181" s="13"/>
      <c r="D181" s="13"/>
      <c r="E181" s="13"/>
      <c r="F181" s="13"/>
      <c r="G181" s="12"/>
      <c r="H181" s="15"/>
      <c r="I181" s="14" t="str">
        <f aca="true">IF(OR(B181="",D181=""),"",IF(H181="",TODAY()-B181,H181-B181))</f>
        <v/>
      </c>
      <c r="J181" s="13"/>
    </row>
    <row r="182" customFormat="false" ht="15" hidden="false" customHeight="false" outlineLevel="0" collapsed="false">
      <c r="A182" s="14" t="str">
        <f aca="false">IF(D182="","",ROW()-4)</f>
        <v/>
      </c>
      <c r="B182" s="15"/>
      <c r="C182" s="13"/>
      <c r="D182" s="13"/>
      <c r="E182" s="13"/>
      <c r="F182" s="13"/>
      <c r="G182" s="12"/>
      <c r="H182" s="15"/>
      <c r="I182" s="14" t="str">
        <f aca="true">IF(OR(B182="",D182=""),"",IF(H182="",TODAY()-B182,H182-B182))</f>
        <v/>
      </c>
      <c r="J182" s="13"/>
    </row>
    <row r="183" customFormat="false" ht="15" hidden="false" customHeight="false" outlineLevel="0" collapsed="false">
      <c r="A183" s="14" t="str">
        <f aca="false">IF(D183="","",ROW()-4)</f>
        <v/>
      </c>
      <c r="B183" s="15"/>
      <c r="C183" s="13"/>
      <c r="D183" s="13"/>
      <c r="E183" s="13"/>
      <c r="F183" s="13"/>
      <c r="G183" s="12"/>
      <c r="H183" s="15"/>
      <c r="I183" s="14" t="str">
        <f aca="true">IF(OR(B183="",D183=""),"",IF(H183="",TODAY()-B183,H183-B183))</f>
        <v/>
      </c>
      <c r="J183" s="13"/>
    </row>
    <row r="184" customFormat="false" ht="15" hidden="false" customHeight="false" outlineLevel="0" collapsed="false">
      <c r="A184" s="14" t="str">
        <f aca="false">IF(D184="","",ROW()-4)</f>
        <v/>
      </c>
      <c r="B184" s="15"/>
      <c r="C184" s="13"/>
      <c r="D184" s="13"/>
      <c r="E184" s="13"/>
      <c r="F184" s="13"/>
      <c r="G184" s="12"/>
      <c r="H184" s="15"/>
      <c r="I184" s="14" t="str">
        <f aca="true">IF(OR(B184="",D184=""),"",IF(H184="",TODAY()-B184,H184-B184))</f>
        <v/>
      </c>
      <c r="J184" s="13"/>
    </row>
    <row r="185" customFormat="false" ht="15" hidden="false" customHeight="false" outlineLevel="0" collapsed="false">
      <c r="A185" s="14" t="str">
        <f aca="false">IF(D185="","",ROW()-4)</f>
        <v/>
      </c>
      <c r="B185" s="15"/>
      <c r="C185" s="13"/>
      <c r="D185" s="13"/>
      <c r="E185" s="13"/>
      <c r="F185" s="13"/>
      <c r="G185" s="12"/>
      <c r="H185" s="15"/>
      <c r="I185" s="14" t="str">
        <f aca="true">IF(OR(B185="",D185=""),"",IF(H185="",TODAY()-B185,H185-B185))</f>
        <v/>
      </c>
      <c r="J185" s="13"/>
    </row>
    <row r="186" customFormat="false" ht="15" hidden="false" customHeight="false" outlineLevel="0" collapsed="false">
      <c r="A186" s="14" t="str">
        <f aca="false">IF(D186="","",ROW()-4)</f>
        <v/>
      </c>
      <c r="B186" s="15"/>
      <c r="C186" s="13"/>
      <c r="D186" s="13"/>
      <c r="E186" s="13"/>
      <c r="F186" s="13"/>
      <c r="G186" s="12"/>
      <c r="H186" s="15"/>
      <c r="I186" s="14" t="str">
        <f aca="true">IF(OR(B186="",D186=""),"",IF(H186="",TODAY()-B186,H186-B186))</f>
        <v/>
      </c>
      <c r="J186" s="13"/>
    </row>
    <row r="187" customFormat="false" ht="15" hidden="false" customHeight="false" outlineLevel="0" collapsed="false">
      <c r="A187" s="14" t="str">
        <f aca="false">IF(D187="","",ROW()-4)</f>
        <v/>
      </c>
      <c r="B187" s="15"/>
      <c r="C187" s="13"/>
      <c r="D187" s="13"/>
      <c r="E187" s="13"/>
      <c r="F187" s="13"/>
      <c r="G187" s="12"/>
      <c r="H187" s="15"/>
      <c r="I187" s="14" t="str">
        <f aca="true">IF(OR(B187="",D187=""),"",IF(H187="",TODAY()-B187,H187-B187))</f>
        <v/>
      </c>
      <c r="J187" s="13"/>
    </row>
    <row r="188" customFormat="false" ht="15" hidden="false" customHeight="false" outlineLevel="0" collapsed="false">
      <c r="A188" s="14" t="str">
        <f aca="false">IF(D188="","",ROW()-4)</f>
        <v/>
      </c>
      <c r="B188" s="15"/>
      <c r="C188" s="13"/>
      <c r="D188" s="13"/>
      <c r="E188" s="13"/>
      <c r="F188" s="13"/>
      <c r="G188" s="12"/>
      <c r="H188" s="15"/>
      <c r="I188" s="14" t="str">
        <f aca="true">IF(OR(B188="",D188=""),"",IF(H188="",TODAY()-B188,H188-B188))</f>
        <v/>
      </c>
      <c r="J188" s="13"/>
    </row>
    <row r="189" customFormat="false" ht="15" hidden="false" customHeight="false" outlineLevel="0" collapsed="false">
      <c r="A189" s="14" t="str">
        <f aca="false">IF(D189="","",ROW()-4)</f>
        <v/>
      </c>
      <c r="B189" s="15"/>
      <c r="C189" s="13"/>
      <c r="D189" s="13"/>
      <c r="E189" s="13"/>
      <c r="F189" s="13"/>
      <c r="G189" s="12"/>
      <c r="H189" s="15"/>
      <c r="I189" s="14" t="str">
        <f aca="true">IF(OR(B189="",D189=""),"",IF(H189="",TODAY()-B189,H189-B189))</f>
        <v/>
      </c>
      <c r="J189" s="13"/>
    </row>
    <row r="190" customFormat="false" ht="15" hidden="false" customHeight="false" outlineLevel="0" collapsed="false">
      <c r="A190" s="14" t="str">
        <f aca="false">IF(D190="","",ROW()-4)</f>
        <v/>
      </c>
      <c r="B190" s="15"/>
      <c r="C190" s="13"/>
      <c r="D190" s="13"/>
      <c r="E190" s="13"/>
      <c r="F190" s="13"/>
      <c r="G190" s="12"/>
      <c r="H190" s="15"/>
      <c r="I190" s="14" t="str">
        <f aca="true">IF(OR(B190="",D190=""),"",IF(H190="",TODAY()-B190,H190-B190))</f>
        <v/>
      </c>
      <c r="J190" s="13"/>
    </row>
    <row r="191" customFormat="false" ht="15" hidden="false" customHeight="false" outlineLevel="0" collapsed="false">
      <c r="A191" s="14" t="str">
        <f aca="false">IF(D191="","",ROW()-4)</f>
        <v/>
      </c>
      <c r="B191" s="15"/>
      <c r="C191" s="13"/>
      <c r="D191" s="13"/>
      <c r="E191" s="13"/>
      <c r="F191" s="13"/>
      <c r="G191" s="12"/>
      <c r="H191" s="15"/>
      <c r="I191" s="14" t="str">
        <f aca="true">IF(OR(B191="",D191=""),"",IF(H191="",TODAY()-B191,H191-B191))</f>
        <v/>
      </c>
      <c r="J191" s="13"/>
    </row>
    <row r="192" customFormat="false" ht="15" hidden="false" customHeight="false" outlineLevel="0" collapsed="false">
      <c r="A192" s="14" t="str">
        <f aca="false">IF(D192="","",ROW()-4)</f>
        <v/>
      </c>
      <c r="B192" s="15"/>
      <c r="C192" s="13"/>
      <c r="D192" s="13"/>
      <c r="E192" s="13"/>
      <c r="F192" s="13"/>
      <c r="G192" s="12"/>
      <c r="H192" s="15"/>
      <c r="I192" s="14" t="str">
        <f aca="true">IF(OR(B192="",D192=""),"",IF(H192="",TODAY()-B192,H192-B192))</f>
        <v/>
      </c>
      <c r="J192" s="13"/>
    </row>
    <row r="193" customFormat="false" ht="15" hidden="false" customHeight="false" outlineLevel="0" collapsed="false">
      <c r="A193" s="14" t="str">
        <f aca="false">IF(D193="","",ROW()-4)</f>
        <v/>
      </c>
      <c r="B193" s="15"/>
      <c r="C193" s="13"/>
      <c r="D193" s="13"/>
      <c r="E193" s="13"/>
      <c r="F193" s="13"/>
      <c r="G193" s="12"/>
      <c r="H193" s="15"/>
      <c r="I193" s="14" t="str">
        <f aca="true">IF(OR(B193="",D193=""),"",IF(H193="",TODAY()-B193,H193-B193))</f>
        <v/>
      </c>
      <c r="J193" s="13"/>
    </row>
    <row r="194" customFormat="false" ht="15" hidden="false" customHeight="false" outlineLevel="0" collapsed="false">
      <c r="A194" s="14" t="str">
        <f aca="false">IF(D194="","",ROW()-4)</f>
        <v/>
      </c>
      <c r="B194" s="15"/>
      <c r="C194" s="13"/>
      <c r="D194" s="13"/>
      <c r="E194" s="13"/>
      <c r="F194" s="13"/>
      <c r="G194" s="12"/>
      <c r="H194" s="15"/>
      <c r="I194" s="14" t="str">
        <f aca="true">IF(OR(B194="",D194=""),"",IF(H194="",TODAY()-B194,H194-B194))</f>
        <v/>
      </c>
      <c r="J194" s="13"/>
    </row>
    <row r="195" customFormat="false" ht="15" hidden="false" customHeight="false" outlineLevel="0" collapsed="false">
      <c r="A195" s="14" t="str">
        <f aca="false">IF(D195="","",ROW()-4)</f>
        <v/>
      </c>
      <c r="B195" s="15"/>
      <c r="C195" s="13"/>
      <c r="D195" s="13"/>
      <c r="E195" s="13"/>
      <c r="F195" s="13"/>
      <c r="G195" s="12"/>
      <c r="H195" s="15"/>
      <c r="I195" s="14" t="str">
        <f aca="true">IF(OR(B195="",D195=""),"",IF(H195="",TODAY()-B195,H195-B195))</f>
        <v/>
      </c>
      <c r="J195" s="13"/>
    </row>
    <row r="196" customFormat="false" ht="15" hidden="false" customHeight="false" outlineLevel="0" collapsed="false">
      <c r="A196" s="14" t="str">
        <f aca="false">IF(D196="","",ROW()-4)</f>
        <v/>
      </c>
      <c r="B196" s="15"/>
      <c r="C196" s="13"/>
      <c r="D196" s="13"/>
      <c r="E196" s="13"/>
      <c r="F196" s="13"/>
      <c r="G196" s="12"/>
      <c r="H196" s="15"/>
      <c r="I196" s="14" t="str">
        <f aca="true">IF(OR(B196="",D196=""),"",IF(H196="",TODAY()-B196,H196-B196))</f>
        <v/>
      </c>
      <c r="J196" s="13"/>
    </row>
    <row r="197" customFormat="false" ht="15" hidden="false" customHeight="false" outlineLevel="0" collapsed="false">
      <c r="A197" s="14" t="str">
        <f aca="false">IF(D197="","",ROW()-4)</f>
        <v/>
      </c>
      <c r="B197" s="15"/>
      <c r="C197" s="13"/>
      <c r="D197" s="13"/>
      <c r="E197" s="13"/>
      <c r="F197" s="13"/>
      <c r="G197" s="12"/>
      <c r="H197" s="15"/>
      <c r="I197" s="14" t="str">
        <f aca="true">IF(OR(B197="",D197=""),"",IF(H197="",TODAY()-B197,H197-B197))</f>
        <v/>
      </c>
      <c r="J197" s="13"/>
    </row>
    <row r="198" customFormat="false" ht="15" hidden="false" customHeight="false" outlineLevel="0" collapsed="false">
      <c r="A198" s="14" t="str">
        <f aca="false">IF(D198="","",ROW()-4)</f>
        <v/>
      </c>
      <c r="B198" s="15"/>
      <c r="C198" s="13"/>
      <c r="D198" s="13"/>
      <c r="E198" s="13"/>
      <c r="F198" s="13"/>
      <c r="G198" s="12"/>
      <c r="H198" s="15"/>
      <c r="I198" s="14" t="str">
        <f aca="true">IF(OR(B198="",D198=""),"",IF(H198="",TODAY()-B198,H198-B198))</f>
        <v/>
      </c>
      <c r="J198" s="13"/>
    </row>
    <row r="199" customFormat="false" ht="15" hidden="false" customHeight="false" outlineLevel="0" collapsed="false">
      <c r="A199" s="14" t="str">
        <f aca="false">IF(D199="","",ROW()-4)</f>
        <v/>
      </c>
      <c r="B199" s="15"/>
      <c r="C199" s="13"/>
      <c r="D199" s="13"/>
      <c r="E199" s="13"/>
      <c r="F199" s="13"/>
      <c r="G199" s="12"/>
      <c r="H199" s="15"/>
      <c r="I199" s="14" t="str">
        <f aca="true">IF(OR(B199="",D199=""),"",IF(H199="",TODAY()-B199,H199-B199))</f>
        <v/>
      </c>
      <c r="J199" s="13"/>
    </row>
    <row r="200" customFormat="false" ht="15" hidden="false" customHeight="false" outlineLevel="0" collapsed="false">
      <c r="A200" s="14" t="str">
        <f aca="false">IF(D200="","",ROW()-4)</f>
        <v/>
      </c>
      <c r="B200" s="15"/>
      <c r="C200" s="13"/>
      <c r="D200" s="13"/>
      <c r="E200" s="13"/>
      <c r="F200" s="13"/>
      <c r="G200" s="12"/>
      <c r="H200" s="15"/>
      <c r="I200" s="14" t="str">
        <f aca="true">IF(OR(B200="",D200=""),"",IF(H200="",TODAY()-B200,H200-B200))</f>
        <v/>
      </c>
      <c r="J200" s="13"/>
    </row>
  </sheetData>
  <conditionalFormatting sqref="G5:G200">
    <cfRule type="cellIs" priority="2" operator="equal" aboveAverage="0" equalAverage="0" bottom="0" percent="0" rank="0" text="" dxfId="4">
      <formula>"Abierto"</formula>
    </cfRule>
    <cfRule type="cellIs" priority="3" operator="equal" aboveAverage="0" equalAverage="0" bottom="0" percent="0" rank="0" text="" dxfId="5">
      <formula>"En curso"</formula>
    </cfRule>
    <cfRule type="cellIs" priority="4" operator="equal" aboveAverage="0" equalAverage="0" bottom="0" percent="0" rank="0" text="" dxfId="6">
      <formula>"Resuelto"</formula>
    </cfRule>
  </conditionalFormatting>
  <dataValidations count="2">
    <dataValidation allowBlank="true" errorStyle="stop" operator="between" showDropDown="false" showErrorMessage="false" showInputMessage="false" sqref="G5:G200" type="list">
      <formula1>"Abierto,En curso,Resuelto"</formula1>
      <formula2>0</formula2>
    </dataValidation>
    <dataValidation allowBlank="true" errorStyle="stop" operator="between" showDropDown="false" showErrorMessage="false" showInputMessage="false" sqref="C5:C200 F5:F200" type="list">
      <formula1>Equipo!$A$2:$A$4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3" t="s">
        <v>66</v>
      </c>
      <c r="C4" s="16" t="n">
        <v>18</v>
      </c>
      <c r="D4" s="2" t="s">
        <v>67</v>
      </c>
    </row>
    <row r="5" customFormat="false" ht="15" hidden="false" customHeight="false" outlineLevel="0" collapsed="false">
      <c r="A5" s="7" t="s">
        <v>68</v>
      </c>
      <c r="B5" s="7" t="s">
        <v>24</v>
      </c>
      <c r="C5" s="7" t="s">
        <v>69</v>
      </c>
      <c r="D5" s="7" t="s">
        <v>70</v>
      </c>
      <c r="E5" s="7" t="s">
        <v>71</v>
      </c>
    </row>
    <row r="6" customFormat="false" ht="15" hidden="false" customHeight="false" outlineLevel="0" collapsed="false">
      <c r="A6" s="14" t="s">
        <v>72</v>
      </c>
      <c r="B6" s="17" t="n">
        <v>46307</v>
      </c>
      <c r="C6" s="14" t="n">
        <f aca="false">ROUND($C$4-$C$4/5*0,1)</f>
        <v>18</v>
      </c>
      <c r="D6" s="14" t="n">
        <f aca="false">$C$4</f>
        <v>18</v>
      </c>
      <c r="E6" s="13" t="s">
        <v>73</v>
      </c>
    </row>
    <row r="7" customFormat="false" ht="15" hidden="false" customHeight="false" outlineLevel="0" collapsed="false">
      <c r="A7" s="14" t="s">
        <v>74</v>
      </c>
      <c r="B7" s="17" t="n">
        <v>46307</v>
      </c>
      <c r="C7" s="14" t="n">
        <f aca="false">ROUND($C$4-$C$4/5*1,1)</f>
        <v>14.4</v>
      </c>
      <c r="D7" s="18"/>
      <c r="E7" s="13"/>
    </row>
    <row r="8" customFormat="false" ht="15" hidden="false" customHeight="false" outlineLevel="0" collapsed="false">
      <c r="A8" s="14" t="s">
        <v>75</v>
      </c>
      <c r="B8" s="17" t="n">
        <v>46308</v>
      </c>
      <c r="C8" s="14" t="n">
        <f aca="false">ROUND($C$4-$C$4/5*2,1)</f>
        <v>10.8</v>
      </c>
      <c r="D8" s="18"/>
      <c r="E8" s="13"/>
    </row>
    <row r="9" customFormat="false" ht="15" hidden="false" customHeight="false" outlineLevel="0" collapsed="false">
      <c r="A9" s="14" t="s">
        <v>76</v>
      </c>
      <c r="B9" s="17" t="n">
        <v>46309</v>
      </c>
      <c r="C9" s="14" t="n">
        <f aca="false">ROUND($C$4-$C$4/5*3,1)</f>
        <v>7.2</v>
      </c>
      <c r="D9" s="18"/>
      <c r="E9" s="13"/>
    </row>
    <row r="10" customFormat="false" ht="15" hidden="false" customHeight="false" outlineLevel="0" collapsed="false">
      <c r="A10" s="14" t="s">
        <v>77</v>
      </c>
      <c r="B10" s="17" t="n">
        <v>46310</v>
      </c>
      <c r="C10" s="14" t="n">
        <f aca="false">ROUND($C$4-$C$4/5*4,1)</f>
        <v>3.6</v>
      </c>
      <c r="D10" s="18"/>
      <c r="E10" s="13"/>
    </row>
    <row r="11" customFormat="false" ht="15" hidden="false" customHeight="false" outlineLevel="0" collapsed="false">
      <c r="A11" s="14" t="s">
        <v>78</v>
      </c>
      <c r="B11" s="17" t="n">
        <v>46311</v>
      </c>
      <c r="C11" s="14" t="n">
        <f aca="false">ROUND($C$4-$C$4/5*5,1)</f>
        <v>0</v>
      </c>
      <c r="D11" s="18"/>
      <c r="E1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7" t="s">
        <v>25</v>
      </c>
      <c r="B1" s="7" t="s">
        <v>48</v>
      </c>
    </row>
    <row r="2" customFormat="false" ht="15" hidden="false" customHeight="false" outlineLevel="0" collapsed="false">
      <c r="A2" s="4" t="s">
        <v>15</v>
      </c>
      <c r="B2" s="4" t="s">
        <v>14</v>
      </c>
    </row>
    <row r="3" customFormat="false" ht="15" hidden="false" customHeight="false" outlineLevel="0" collapsed="false">
      <c r="A3" s="4" t="s">
        <v>11</v>
      </c>
      <c r="B3" s="4" t="s">
        <v>10</v>
      </c>
    </row>
    <row r="4" customFormat="false" ht="15" hidden="false" customHeight="false" outlineLevel="0" collapsed="false">
      <c r="A4" s="4" t="s">
        <v>13</v>
      </c>
      <c r="B4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2026-10-11T21:46:22Z</dcterms:created>
  <dc:creator>openpyxl</dc:creator>
  <dc:description/>
  <dc:language>en-US</dc:language>
  <cp:lastModifiedBy/>
  <dcterms:modified xsi:type="dcterms:W3CDTF">2026-10-11T18:46:25Z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