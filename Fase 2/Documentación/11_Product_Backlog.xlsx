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oduct Backlog" sheetId="1" state="visible" r:id="rId1"/>
    <sheet name="Resumen" sheetId="2" state="visible" r:id="rId2"/>
    <sheet name="Backlog futuro" sheetId="3" state="visible" r:id="rId3"/>
    <sheet name="Leyenda" sheetId="4" state="visible" r:id="rId4"/>
  </sheets>
  <definedNames>
    <definedName name="_xlnm._FilterDatabase" localSheetId="0" hidden="1">'Product Backlog'!$A$4:$M$22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073763"/>
      <sz val="14"/>
    </font>
  </fonts>
  <fills count="4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73763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9E1EC"/>
      </left>
      <right style="thin">
        <color rgb="FFD9E1EC"/>
      </right>
      <top style="thin">
        <color rgb="FFD9E1EC"/>
      </top>
      <bottom style="thin">
        <color rgb="FFD9E1E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9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9" fontId="8" fillId="0" borderId="1" applyAlignment="1" pivotButton="0" quotePrefix="0" xfId="0">
      <alignment horizontal="center" vertical="bottom"/>
    </xf>
    <xf numFmtId="0" fontId="6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3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bottom"/>
    </xf>
    <xf numFmtId="9" fontId="7" fillId="0" borderId="2" applyAlignment="1" pivotButton="0" quotePrefix="0" xfId="0">
      <alignment horizontal="center" vertical="bottom"/>
    </xf>
    <xf numFmtId="0" fontId="8" fillId="0" borderId="2" applyAlignment="1" pivotButton="0" quotePrefix="0" xfId="0">
      <alignment horizontal="general" vertical="bottom"/>
    </xf>
    <xf numFmtId="0" fontId="8" fillId="0" borderId="2" applyAlignment="1" pivotButton="0" quotePrefix="0" xfId="0">
      <alignment horizontal="center" vertical="bottom"/>
    </xf>
    <xf numFmtId="9" fontId="8" fillId="0" borderId="2" applyAlignment="1" pivotButton="0" quotePrefix="0" xfId="0">
      <alignment horizontal="center" vertical="bottom"/>
    </xf>
    <xf numFmtId="0" fontId="6" fillId="3" borderId="2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D1FAE5"/>
        </patternFill>
      </fill>
    </dxf>
    <dxf>
      <fill>
        <patternFill>
          <bgColor rgb="FFFEF3C7"/>
        </patternFill>
      </fill>
    </dxf>
    <dxf>
      <fill>
        <patternFill>
          <bgColor rgb="FFDBEAFE"/>
        </patternFill>
      </fill>
    </dxf>
    <dxf>
      <font>
        <name val="Arial"/>
        <charset val="1"/>
        <family val="0"/>
        <b val="1"/>
        <color rgb="FFB91C1C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7" customWidth="1" style="16" min="1" max="2"/>
    <col width="15" customWidth="1" style="16" min="3" max="3"/>
    <col width="26" customWidth="1" style="16" min="4" max="4"/>
    <col width="55" customWidth="1" style="16" min="5" max="5"/>
    <col width="16" customWidth="1" style="16" min="6" max="6"/>
    <col width="18" customWidth="1" style="16" min="7" max="7"/>
    <col width="10" customWidth="1" style="16" min="8" max="8"/>
    <col width="8" customWidth="1" style="16" min="9" max="9"/>
    <col width="24" customWidth="1" style="16" min="10" max="10"/>
    <col width="12" customWidth="1" style="16" min="11" max="11"/>
    <col width="14" customWidth="1" style="16" min="12" max="12"/>
    <col width="16" customWidth="1" style="16" min="13" max="13"/>
  </cols>
  <sheetData>
    <row r="1" ht="17.35" customHeight="1" s="17">
      <c r="A1" s="33" t="inlineStr">
        <is>
          <t>KontadorIA · Product Backlog</t>
        </is>
      </c>
    </row>
    <row r="2" ht="15" customHeight="1" s="17">
      <c r="A2" s="19" t="inlineStr">
        <is>
          <t>Lista ordenada: el orden refleja la prioridad (1 = se trabaja primero). Responsable del orden: Product Owner (Vicente Hermosilla). Actualizado: 11-10-2026. Sincronizado con Jira (proyecto KONTADORIA).</t>
        </is>
      </c>
    </row>
    <row r="4" ht="15" customHeight="1" s="17">
      <c r="A4" s="20" t="inlineStr">
        <is>
          <t>Orden</t>
        </is>
      </c>
      <c r="B4" s="20" t="inlineStr">
        <is>
          <t>ID</t>
        </is>
      </c>
      <c r="C4" s="20" t="inlineStr">
        <is>
          <t>Jira</t>
        </is>
      </c>
      <c r="D4" s="20" t="inlineStr">
        <is>
          <t>Ítem</t>
        </is>
      </c>
      <c r="E4" s="20" t="inlineStr">
        <is>
          <t>Historia de usuario (Como… quiero… para…)</t>
        </is>
      </c>
      <c r="F4" s="20" t="inlineStr">
        <is>
          <t>Módulo</t>
        </is>
      </c>
      <c r="G4" s="20" t="inlineStr">
        <is>
          <t>Rol</t>
        </is>
      </c>
      <c r="H4" s="20" t="inlineStr">
        <is>
          <t>Prioridad</t>
        </is>
      </c>
      <c r="I4" s="20" t="inlineStr">
        <is>
          <t>Puntos</t>
        </is>
      </c>
      <c r="J4" s="20" t="inlineStr">
        <is>
          <t>Sprint</t>
        </is>
      </c>
      <c r="K4" s="20" t="inlineStr">
        <is>
          <t>Estado</t>
        </is>
      </c>
      <c r="L4" s="20" t="inlineStr">
        <is>
          <t>Depende de</t>
        </is>
      </c>
      <c r="M4" s="20" t="inlineStr">
        <is>
          <t>Requisitos (RF)</t>
        </is>
      </c>
    </row>
    <row r="5" ht="23.85" customHeight="1" s="17">
      <c r="A5" s="21" t="n">
        <v>1</v>
      </c>
      <c r="B5" s="21" t="inlineStr">
        <is>
          <t>HU17</t>
        </is>
      </c>
      <c r="C5" s="21" t="inlineStr">
        <is>
          <t>KONTADORIA-17</t>
        </is>
      </c>
      <c r="D5" s="22" t="inlineStr">
        <is>
          <t>Registro de cuenta y empresa</t>
        </is>
      </c>
      <c r="E5" s="22" t="inlineStr">
        <is>
          <t>Como dueño de una PYME, quiero crear mi cuenta y registrar mi empresa, para empezar a usar KontadorIA.</t>
        </is>
      </c>
      <c r="F5" s="22" t="inlineStr">
        <is>
          <t>Acceso y empresa</t>
        </is>
      </c>
      <c r="G5" s="22" t="inlineStr">
        <is>
          <t>Dueño (nuevo)</t>
        </is>
      </c>
      <c r="H5" s="21" t="inlineStr">
        <is>
          <t>Alta</t>
        </is>
      </c>
      <c r="I5" s="21" t="n">
        <v>5</v>
      </c>
      <c r="J5" s="22" t="inlineStr">
        <is>
          <t>Sprint 1 — Base y acceso</t>
        </is>
      </c>
      <c r="K5" s="21" t="inlineStr">
        <is>
          <t>Por hacer</t>
        </is>
      </c>
      <c r="L5" s="22" t="inlineStr">
        <is>
          <t>—</t>
        </is>
      </c>
      <c r="M5" s="22" t="inlineStr">
        <is>
          <t>RF20</t>
        </is>
      </c>
    </row>
    <row r="6" ht="35.05" customHeight="1" s="17">
      <c r="A6" s="21" t="n">
        <v>2</v>
      </c>
      <c r="B6" s="21" t="inlineStr">
        <is>
          <t>HU01</t>
        </is>
      </c>
      <c r="C6" s="21" t="inlineStr">
        <is>
          <t>KONTADORIA-1</t>
        </is>
      </c>
      <c r="D6" s="22" t="inlineStr">
        <is>
          <t>Inicio de sesión</t>
        </is>
      </c>
      <c r="E6" s="22" t="inlineStr">
        <is>
          <t>Como usuario de KontadorIA, quiero iniciar sesión con mi correo y contraseña, para acceder de forma segura a las funcionalidades de mi empresa.</t>
        </is>
      </c>
      <c r="F6" s="22" t="inlineStr">
        <is>
          <t>Acceso y empresa</t>
        </is>
      </c>
      <c r="G6" s="22" t="inlineStr">
        <is>
          <t>Todos</t>
        </is>
      </c>
      <c r="H6" s="21" t="inlineStr">
        <is>
          <t>Alta</t>
        </is>
      </c>
      <c r="I6" s="21" t="n">
        <v>3</v>
      </c>
      <c r="J6" s="22" t="inlineStr">
        <is>
          <t>Sprint 1 — Base y acceso</t>
        </is>
      </c>
      <c r="K6" s="21" t="inlineStr">
        <is>
          <t>Por hacer</t>
        </is>
      </c>
      <c r="L6" s="22" t="inlineStr">
        <is>
          <t>HU17</t>
        </is>
      </c>
      <c r="M6" s="22" t="inlineStr">
        <is>
          <t>RF01</t>
        </is>
      </c>
    </row>
    <row r="7" ht="35.05" customHeight="1" s="17">
      <c r="A7" s="21" t="n">
        <v>3</v>
      </c>
      <c r="B7" s="21" t="inlineStr">
        <is>
          <t>HU05</t>
        </is>
      </c>
      <c r="C7" s="21" t="inlineStr">
        <is>
          <t>KONTADORIA-5</t>
        </is>
      </c>
      <c r="D7" s="22" t="inlineStr">
        <is>
          <t>Aislamiento de información</t>
        </is>
      </c>
      <c r="E7" s="22" t="inlineStr">
        <is>
          <t>Como usuario de una empresa, quiero acceder solo a la información que me corresponde, para mantener protegidos los datos financieros.</t>
        </is>
      </c>
      <c r="F7" s="22" t="inlineStr">
        <is>
          <t>Seguridad</t>
        </is>
      </c>
      <c r="G7" s="22" t="inlineStr">
        <is>
          <t>Todos</t>
        </is>
      </c>
      <c r="H7" s="21" t="inlineStr">
        <is>
          <t>Alta</t>
        </is>
      </c>
      <c r="I7" s="21" t="n">
        <v>5</v>
      </c>
      <c r="J7" s="22" t="inlineStr">
        <is>
          <t>Sprint 1 — Base y acceso</t>
        </is>
      </c>
      <c r="K7" s="21" t="inlineStr">
        <is>
          <t>Por hacer</t>
        </is>
      </c>
      <c r="L7" s="22" t="inlineStr">
        <is>
          <t>HU01</t>
        </is>
      </c>
      <c r="M7" s="22" t="inlineStr">
        <is>
          <t>RF05</t>
        </is>
      </c>
    </row>
    <row r="8" ht="35.05" customHeight="1" s="17">
      <c r="A8" s="21" t="n">
        <v>4</v>
      </c>
      <c r="B8" s="21" t="inlineStr">
        <is>
          <t>HU04</t>
        </is>
      </c>
      <c r="C8" s="21" t="inlineStr">
        <is>
          <t>KONTADORIA-4</t>
        </is>
      </c>
      <c r="D8" s="22" t="inlineStr">
        <is>
          <t>Gestión de empresas</t>
        </is>
      </c>
      <c r="E8" s="22" t="inlineStr">
        <is>
          <t>Como administrador, quiero gestionar la información de mi empresa, para mantenerla correctamente identificada en la plataforma.</t>
        </is>
      </c>
      <c r="F8" s="22" t="inlineStr">
        <is>
          <t>Acceso y empresa</t>
        </is>
      </c>
      <c r="G8" s="22" t="inlineStr">
        <is>
          <t>Administrador</t>
        </is>
      </c>
      <c r="H8" s="21" t="inlineStr">
        <is>
          <t>Media</t>
        </is>
      </c>
      <c r="I8" s="21" t="n">
        <v>5</v>
      </c>
      <c r="J8" s="22" t="inlineStr">
        <is>
          <t>Sprint 1 — Base y acceso</t>
        </is>
      </c>
      <c r="K8" s="21" t="inlineStr">
        <is>
          <t>Por hacer</t>
        </is>
      </c>
      <c r="L8" s="22" t="inlineStr">
        <is>
          <t>HU17</t>
        </is>
      </c>
      <c r="M8" s="22" t="inlineStr">
        <is>
          <t>RF04</t>
        </is>
      </c>
    </row>
    <row r="9" ht="35.05" customHeight="1" s="17">
      <c r="A9" s="21" t="n">
        <v>5</v>
      </c>
      <c r="B9" s="21" t="inlineStr">
        <is>
          <t>HU03</t>
        </is>
      </c>
      <c r="C9" s="21" t="inlineStr">
        <is>
          <t>KONTADORIA-3</t>
        </is>
      </c>
      <c r="D9" s="22" t="inlineStr">
        <is>
          <t>Roles y permisos</t>
        </is>
      </c>
      <c r="E9" s="22" t="inlineStr">
        <is>
          <t>Como administrador, quiero que cada usuario tenga permisos según su rol, para controlar qué información y funcionalidades puede usar.</t>
        </is>
      </c>
      <c r="F9" s="22" t="inlineStr">
        <is>
          <t>Seguridad</t>
        </is>
      </c>
      <c r="G9" s="22" t="inlineStr">
        <is>
          <t>Administrador</t>
        </is>
      </c>
      <c r="H9" s="21" t="inlineStr">
        <is>
          <t>Alta</t>
        </is>
      </c>
      <c r="I9" s="21" t="n">
        <v>5</v>
      </c>
      <c r="J9" s="22" t="inlineStr">
        <is>
          <t>Sprint 2 — Equipo y registro</t>
        </is>
      </c>
      <c r="K9" s="21" t="inlineStr">
        <is>
          <t>Por hacer</t>
        </is>
      </c>
      <c r="L9" s="22" t="inlineStr">
        <is>
          <t>HU01, HU05</t>
        </is>
      </c>
      <c r="M9" s="22" t="inlineStr">
        <is>
          <t>RF03</t>
        </is>
      </c>
    </row>
    <row r="10" ht="23.85" customHeight="1" s="17">
      <c r="A10" s="21" t="n">
        <v>6</v>
      </c>
      <c r="B10" s="21" t="inlineStr">
        <is>
          <t>HU14</t>
        </is>
      </c>
      <c r="C10" s="21" t="inlineStr">
        <is>
          <t>KONTADORIA-14</t>
        </is>
      </c>
      <c r="D10" s="22" t="inlineStr">
        <is>
          <t>Gestión de categorías</t>
        </is>
      </c>
      <c r="E10" s="22" t="inlineStr">
        <is>
          <t>Como administrador, quiero gestionar las categorías de ingresos y gastos, para organizar los movimientos financieros.</t>
        </is>
      </c>
      <c r="F10" s="22" t="inlineStr">
        <is>
          <t>Movimientos</t>
        </is>
      </c>
      <c r="G10" s="22" t="inlineStr">
        <is>
          <t>Administrador</t>
        </is>
      </c>
      <c r="H10" s="21" t="inlineStr">
        <is>
          <t>Alta</t>
        </is>
      </c>
      <c r="I10" s="21" t="n">
        <v>3</v>
      </c>
      <c r="J10" s="22" t="inlineStr">
        <is>
          <t>Sprint 2 — Equipo y registro</t>
        </is>
      </c>
      <c r="K10" s="21" t="inlineStr">
        <is>
          <t>Por hacer</t>
        </is>
      </c>
      <c r="L10" s="22" t="inlineStr">
        <is>
          <t>HU03</t>
        </is>
      </c>
      <c r="M10" s="22" t="inlineStr">
        <is>
          <t>RF17</t>
        </is>
      </c>
    </row>
    <row r="11" ht="23.85" customHeight="1" s="17">
      <c r="A11" s="21" t="n">
        <v>7</v>
      </c>
      <c r="B11" s="21" t="inlineStr">
        <is>
          <t>HU02</t>
        </is>
      </c>
      <c r="C11" s="21" t="inlineStr">
        <is>
          <t>KONTADORIA-2</t>
        </is>
      </c>
      <c r="D11" s="22" t="inlineStr">
        <is>
          <t>Gestión de usuarios</t>
        </is>
      </c>
      <c r="E11" s="22" t="inlineStr">
        <is>
          <t>Como administrador, quiero invitar y gestionar a los usuarios de mi empresa, para que otras personas usen la plataforma con su rol.</t>
        </is>
      </c>
      <c r="F11" s="22" t="inlineStr">
        <is>
          <t>Acceso y empresa</t>
        </is>
      </c>
      <c r="G11" s="22" t="inlineStr">
        <is>
          <t>Administrador</t>
        </is>
      </c>
      <c r="H11" s="21" t="inlineStr">
        <is>
          <t>Media</t>
        </is>
      </c>
      <c r="I11" s="21" t="n">
        <v>5</v>
      </c>
      <c r="J11" s="22" t="inlineStr">
        <is>
          <t>Sprint 2 — Equipo y registro</t>
        </is>
      </c>
      <c r="K11" s="21" t="inlineStr">
        <is>
          <t>Por hacer</t>
        </is>
      </c>
      <c r="L11" s="22" t="inlineStr">
        <is>
          <t>HU17, HU03</t>
        </is>
      </c>
      <c r="M11" s="22" t="inlineStr">
        <is>
          <t>RF02</t>
        </is>
      </c>
    </row>
    <row r="12" ht="23.85" customHeight="1" s="17">
      <c r="A12" s="21" t="n">
        <v>8</v>
      </c>
      <c r="B12" s="21" t="inlineStr">
        <is>
          <t>HU06</t>
        </is>
      </c>
      <c r="C12" s="21" t="inlineStr">
        <is>
          <t>KONTADORIA-6</t>
        </is>
      </c>
      <c r="D12" s="22" t="inlineStr">
        <is>
          <t>Registrar ingresos y gastos</t>
        </is>
      </c>
      <c r="E12" s="22" t="inlineStr">
        <is>
          <t>Como administrador o empleado, quiero registrar ingresos y gastos manualmente, para mantener actualizado el control financiero.</t>
        </is>
      </c>
      <c r="F12" s="22" t="inlineStr">
        <is>
          <t>Movimientos</t>
        </is>
      </c>
      <c r="G12" s="22" t="inlineStr">
        <is>
          <t>Administrador, empleado</t>
        </is>
      </c>
      <c r="H12" s="21" t="inlineStr">
        <is>
          <t>Alta</t>
        </is>
      </c>
      <c r="I12" s="21" t="n">
        <v>5</v>
      </c>
      <c r="J12" s="22" t="inlineStr">
        <is>
          <t>Sprint 2 — Equipo y registro</t>
        </is>
      </c>
      <c r="K12" s="21" t="inlineStr">
        <is>
          <t>Por hacer</t>
        </is>
      </c>
      <c r="L12" s="22" t="inlineStr">
        <is>
          <t>HU14, HU05</t>
        </is>
      </c>
      <c r="M12" s="22" t="inlineStr">
        <is>
          <t>RF06, RF08</t>
        </is>
      </c>
    </row>
    <row r="13" ht="23.85" customHeight="1" s="17">
      <c r="A13" s="21" t="n">
        <v>9</v>
      </c>
      <c r="B13" s="21" t="inlineStr">
        <is>
          <t>HU07</t>
        </is>
      </c>
      <c r="C13" s="21" t="inlineStr">
        <is>
          <t>KONTADORIA-7</t>
        </is>
      </c>
      <c r="D13" s="22" t="inlineStr">
        <is>
          <t>Consultar y filtrar movimientos</t>
        </is>
      </c>
      <c r="E13" s="22" t="inlineStr">
        <is>
          <t>Como usuario, quiero consultar y filtrar movimientos, para encontrar rápidamente la información que necesito.</t>
        </is>
      </c>
      <c r="F13" s="22" t="inlineStr">
        <is>
          <t>Movimientos</t>
        </is>
      </c>
      <c r="G13" s="22" t="inlineStr">
        <is>
          <t>Todos</t>
        </is>
      </c>
      <c r="H13" s="21" t="inlineStr">
        <is>
          <t>Alta</t>
        </is>
      </c>
      <c r="I13" s="21" t="n">
        <v>5</v>
      </c>
      <c r="J13" s="22" t="inlineStr">
        <is>
          <t>Sprint 2 — Equipo y registro</t>
        </is>
      </c>
      <c r="K13" s="21" t="inlineStr">
        <is>
          <t>Por hacer</t>
        </is>
      </c>
      <c r="L13" s="22" t="inlineStr">
        <is>
          <t>HU06</t>
        </is>
      </c>
      <c r="M13" s="22" t="inlineStr">
        <is>
          <t>RF07</t>
        </is>
      </c>
    </row>
    <row r="14" ht="23.85" customHeight="1" s="17">
      <c r="A14" s="21" t="n">
        <v>10</v>
      </c>
      <c r="B14" s="21" t="inlineStr">
        <is>
          <t>HU08</t>
        </is>
      </c>
      <c r="C14" s="21" t="inlineStr">
        <is>
          <t>KONTADORIA-8</t>
        </is>
      </c>
      <c r="D14" s="22" t="inlineStr">
        <is>
          <t>Cargar boleta o factura</t>
        </is>
      </c>
      <c r="E14" s="22" t="inlineStr">
        <is>
          <t>Como administrador o empleado, quiero cargar una boleta o factura por imagen o PDF, para registrarla sin tipear los datos.</t>
        </is>
      </c>
      <c r="F14" s="22" t="inlineStr">
        <is>
          <t>Carga con IA</t>
        </is>
      </c>
      <c r="G14" s="22" t="inlineStr">
        <is>
          <t>Administrador, empleado</t>
        </is>
      </c>
      <c r="H14" s="21" t="inlineStr">
        <is>
          <t>Alta</t>
        </is>
      </c>
      <c r="I14" s="21" t="n">
        <v>5</v>
      </c>
      <c r="J14" s="22" t="inlineStr">
        <is>
          <t>Sprint 3 — IA y dashboard</t>
        </is>
      </c>
      <c r="K14" s="21" t="inlineStr">
        <is>
          <t>Por hacer</t>
        </is>
      </c>
      <c r="L14" s="22" t="inlineStr">
        <is>
          <t>HU06</t>
        </is>
      </c>
      <c r="M14" s="22" t="inlineStr">
        <is>
          <t>RF09, RF10, RF12</t>
        </is>
      </c>
    </row>
    <row r="15" ht="23.85" customHeight="1" s="17">
      <c r="A15" s="21" t="n">
        <v>11</v>
      </c>
      <c r="B15" s="21" t="inlineStr">
        <is>
          <t>HU09</t>
        </is>
      </c>
      <c r="C15" s="21" t="inlineStr">
        <is>
          <t>KONTADORIA-9</t>
        </is>
      </c>
      <c r="D15" s="22" t="inlineStr">
        <is>
          <t>Validar información extraída</t>
        </is>
      </c>
      <c r="E15" s="22" t="inlineStr">
        <is>
          <t>Como usuario, quiero revisar y corregir la información extraída por la IA, para asegurar que el movimiento se registre correctamente.</t>
        </is>
      </c>
      <c r="F15" s="22" t="inlineStr">
        <is>
          <t>Carga con IA</t>
        </is>
      </c>
      <c r="G15" s="22" t="inlineStr">
        <is>
          <t>Administrador, empleado</t>
        </is>
      </c>
      <c r="H15" s="21" t="inlineStr">
        <is>
          <t>Alta</t>
        </is>
      </c>
      <c r="I15" s="21" t="n">
        <v>5</v>
      </c>
      <c r="J15" s="22" t="inlineStr">
        <is>
          <t>Sprint 3 — IA y dashboard</t>
        </is>
      </c>
      <c r="K15" s="21" t="inlineStr">
        <is>
          <t>Por hacer</t>
        </is>
      </c>
      <c r="L15" s="22" t="inlineStr">
        <is>
          <t>HU08</t>
        </is>
      </c>
      <c r="M15" s="22" t="inlineStr">
        <is>
          <t>RF11</t>
        </is>
      </c>
    </row>
    <row r="16" ht="23.85" customHeight="1" s="17">
      <c r="A16" s="21" t="n">
        <v>12</v>
      </c>
      <c r="B16" s="21" t="inlineStr">
        <is>
          <t>HU18</t>
        </is>
      </c>
      <c r="C16" s="21" t="inlineStr">
        <is>
          <t>KONTADORIA-18</t>
        </is>
      </c>
      <c r="D16" s="22" t="inlineStr">
        <is>
          <t>Dashboard</t>
        </is>
      </c>
      <c r="E16" s="22" t="inlineStr">
        <is>
          <t>Como usuario, quiero ver un resumen de los ingresos y gastos, para entender rápidamente la situación financiera.</t>
        </is>
      </c>
      <c r="F16" s="22" t="inlineStr">
        <is>
          <t>Reportes</t>
        </is>
      </c>
      <c r="G16" s="22" t="inlineStr">
        <is>
          <t>Todos</t>
        </is>
      </c>
      <c r="H16" s="21" t="inlineStr">
        <is>
          <t>Media</t>
        </is>
      </c>
      <c r="I16" s="21" t="n">
        <v>5</v>
      </c>
      <c r="J16" s="22" t="inlineStr">
        <is>
          <t>Sprint 3 — IA y dashboard</t>
        </is>
      </c>
      <c r="K16" s="21" t="inlineStr">
        <is>
          <t>Por hacer</t>
        </is>
      </c>
      <c r="L16" s="22" t="inlineStr">
        <is>
          <t>HU06, HU14</t>
        </is>
      </c>
      <c r="M16" s="22" t="inlineStr">
        <is>
          <t>RF21</t>
        </is>
      </c>
    </row>
    <row r="17" ht="23.85" customHeight="1" s="17">
      <c r="A17" s="21" t="n">
        <v>13</v>
      </c>
      <c r="B17" s="21" t="inlineStr">
        <is>
          <t>HU10</t>
        </is>
      </c>
      <c r="C17" s="21" t="inlineStr">
        <is>
          <t>KONTADORIA-10</t>
        </is>
      </c>
      <c r="D17" s="22" t="inlineStr">
        <is>
          <t>Importar CSV/XLSX</t>
        </is>
      </c>
      <c r="E17" s="22" t="inlineStr">
        <is>
          <t>Como administrador o contador, quiero importar movimientos desde CSV/XLSX, para incorporar la información que ya tengo.</t>
        </is>
      </c>
      <c r="F17" s="22" t="inlineStr">
        <is>
          <t>Importación</t>
        </is>
      </c>
      <c r="G17" s="22" t="inlineStr">
        <is>
          <t>Administrador, contador</t>
        </is>
      </c>
      <c r="H17" s="21" t="inlineStr">
        <is>
          <t>Media</t>
        </is>
      </c>
      <c r="I17" s="21" t="n">
        <v>5</v>
      </c>
      <c r="J17" s="22" t="inlineStr">
        <is>
          <t>Sprint 4 — Importación masiva</t>
        </is>
      </c>
      <c r="K17" s="21" t="inlineStr">
        <is>
          <t>Por hacer</t>
        </is>
      </c>
      <c r="L17" s="22" t="inlineStr">
        <is>
          <t>HU06</t>
        </is>
      </c>
      <c r="M17" s="22" t="inlineStr">
        <is>
          <t>RF13</t>
        </is>
      </c>
    </row>
    <row r="18" ht="23.85" customHeight="1" s="17">
      <c r="A18" s="21" t="n">
        <v>14</v>
      </c>
      <c r="B18" s="21" t="inlineStr">
        <is>
          <t>HU11</t>
        </is>
      </c>
      <c r="C18" s="21" t="inlineStr">
        <is>
          <t>KONTADORIA-11</t>
        </is>
      </c>
      <c r="D18" s="22" t="inlineStr">
        <is>
          <t>Validar archivo importado</t>
        </is>
      </c>
      <c r="E18" s="22" t="inlineStr">
        <is>
          <t>Como administrador o contador, quiero que el sistema valide las filas antes de importarlas, para no registrar información incorrecta.</t>
        </is>
      </c>
      <c r="F18" s="22" t="inlineStr">
        <is>
          <t>Importación</t>
        </is>
      </c>
      <c r="G18" s="22" t="inlineStr">
        <is>
          <t>Administrador, contador</t>
        </is>
      </c>
      <c r="H18" s="21" t="inlineStr">
        <is>
          <t>Media</t>
        </is>
      </c>
      <c r="I18" s="21" t="n">
        <v>5</v>
      </c>
      <c r="J18" s="22" t="inlineStr">
        <is>
          <t>Sprint 4 — Importación masiva</t>
        </is>
      </c>
      <c r="K18" s="21" t="inlineStr">
        <is>
          <t>Por hacer</t>
        </is>
      </c>
      <c r="L18" s="22" t="inlineStr">
        <is>
          <t>HU10</t>
        </is>
      </c>
      <c r="M18" s="22" t="inlineStr">
        <is>
          <t>RF14</t>
        </is>
      </c>
    </row>
    <row r="19" ht="23.85" customHeight="1" s="17">
      <c r="A19" s="21" t="n">
        <v>15</v>
      </c>
      <c r="B19" s="21" t="inlineStr">
        <is>
          <t>HU12</t>
        </is>
      </c>
      <c r="C19" s="21" t="inlineStr">
        <is>
          <t>KONTADORIA-12</t>
        </is>
      </c>
      <c r="D19" s="22" t="inlineStr">
        <is>
          <t>Revisar importación</t>
        </is>
      </c>
      <c r="E19" s="22" t="inlineStr">
        <is>
          <t>Como administrador o contador, quiero ver un resumen antes de confirmar la importación, para revisar los resultados.</t>
        </is>
      </c>
      <c r="F19" s="22" t="inlineStr">
        <is>
          <t>Importación</t>
        </is>
      </c>
      <c r="G19" s="22" t="inlineStr">
        <is>
          <t>Administrador, contador</t>
        </is>
      </c>
      <c r="H19" s="21" t="inlineStr">
        <is>
          <t>Media</t>
        </is>
      </c>
      <c r="I19" s="21" t="n">
        <v>3</v>
      </c>
      <c r="J19" s="22" t="inlineStr">
        <is>
          <t>Sprint 4 — Importación masiva</t>
        </is>
      </c>
      <c r="K19" s="21" t="inlineStr">
        <is>
          <t>Por hacer</t>
        </is>
      </c>
      <c r="L19" s="22" t="inlineStr">
        <is>
          <t>HU11</t>
        </is>
      </c>
      <c r="M19" s="22" t="inlineStr">
        <is>
          <t>RF15</t>
        </is>
      </c>
    </row>
    <row r="20" ht="23.85" customHeight="1" s="17">
      <c r="A20" s="21" t="n">
        <v>16</v>
      </c>
      <c r="B20" s="21" t="inlineStr">
        <is>
          <t>HU13</t>
        </is>
      </c>
      <c r="C20" s="21" t="inlineStr">
        <is>
          <t>KONTADORIA-13</t>
        </is>
      </c>
      <c r="D20" s="22" t="inlineStr">
        <is>
          <t>Trazabilidad de importaciones</t>
        </is>
      </c>
      <c r="E20" s="22" t="inlineStr">
        <is>
          <t>Como administrador o contador, quiero consultar el resultado de las importaciones, para mantener registro de los archivos procesados.</t>
        </is>
      </c>
      <c r="F20" s="22" t="inlineStr">
        <is>
          <t>Importación</t>
        </is>
      </c>
      <c r="G20" s="22" t="inlineStr">
        <is>
          <t>Administrador, contador</t>
        </is>
      </c>
      <c r="H20" s="21" t="inlineStr">
        <is>
          <t>Baja</t>
        </is>
      </c>
      <c r="I20" s="21" t="n">
        <v>5</v>
      </c>
      <c r="J20" s="22" t="inlineStr">
        <is>
          <t>Sprint 4 — Importación masiva</t>
        </is>
      </c>
      <c r="K20" s="21" t="inlineStr">
        <is>
          <t>Por hacer</t>
        </is>
      </c>
      <c r="L20" s="22" t="inlineStr">
        <is>
          <t>HU12</t>
        </is>
      </c>
      <c r="M20" s="22" t="inlineStr">
        <is>
          <t>RF16</t>
        </is>
      </c>
    </row>
    <row r="21" ht="23.85" customHeight="1" s="17">
      <c r="A21" s="21" t="n">
        <v>17</v>
      </c>
      <c r="B21" s="21" t="inlineStr">
        <is>
          <t>HU16</t>
        </is>
      </c>
      <c r="C21" s="21" t="inlineStr">
        <is>
          <t>KONTADORIA-16</t>
        </is>
      </c>
      <c r="D21" s="22" t="inlineStr">
        <is>
          <t>Consultar y exportar información</t>
        </is>
      </c>
      <c r="E21" s="22" t="inlineStr">
        <is>
          <t>Como administrador o contador, quiero consultar y exportar la información financiera, para analizarla fuera de la plataforma.</t>
        </is>
      </c>
      <c r="F21" s="22" t="inlineStr">
        <is>
          <t>Reportes</t>
        </is>
      </c>
      <c r="G21" s="22" t="inlineStr">
        <is>
          <t>Administrador, contador</t>
        </is>
      </c>
      <c r="H21" s="21" t="inlineStr">
        <is>
          <t>Media</t>
        </is>
      </c>
      <c r="I21" s="21" t="n">
        <v>5</v>
      </c>
      <c r="J21" s="22" t="inlineStr">
        <is>
          <t>Sprint 5 — Finanzas y cierre</t>
        </is>
      </c>
      <c r="K21" s="21" t="inlineStr">
        <is>
          <t>Por hacer</t>
        </is>
      </c>
      <c r="L21" s="22" t="inlineStr">
        <is>
          <t>HU07</t>
        </is>
      </c>
      <c r="M21" s="22" t="inlineStr">
        <is>
          <t>RF19</t>
        </is>
      </c>
    </row>
    <row r="22" ht="23.85" customHeight="1" s="17">
      <c r="A22" s="21" t="n">
        <v>18</v>
      </c>
      <c r="B22" s="21" t="inlineStr">
        <is>
          <t>HU15</t>
        </is>
      </c>
      <c r="C22" s="21" t="inlineStr">
        <is>
          <t>KONTADORIA-15</t>
        </is>
      </c>
      <c r="D22" s="22" t="inlineStr">
        <is>
          <t>Gestión de presupuestos</t>
        </is>
      </c>
      <c r="E22" s="22" t="inlineStr">
        <is>
          <t>Como administrador, quiero definir presupuestos por categoría y mes, para controlar los límites de gasto.</t>
        </is>
      </c>
      <c r="F22" s="22" t="inlineStr">
        <is>
          <t>Reportes</t>
        </is>
      </c>
      <c r="G22" s="22" t="inlineStr">
        <is>
          <t>Administrador</t>
        </is>
      </c>
      <c r="H22" s="21" t="inlineStr">
        <is>
          <t>Baja</t>
        </is>
      </c>
      <c r="I22" s="21" t="n">
        <v>5</v>
      </c>
      <c r="J22" s="22" t="inlineStr">
        <is>
          <t>Sprint 5 — Finanzas y cierre</t>
        </is>
      </c>
      <c r="K22" s="21" t="inlineStr">
        <is>
          <t>Por hacer</t>
        </is>
      </c>
      <c r="L22" s="22" t="inlineStr">
        <is>
          <t>HU14</t>
        </is>
      </c>
      <c r="M22" s="22" t="inlineStr">
        <is>
          <t>RF18</t>
        </is>
      </c>
    </row>
    <row r="24" ht="30" customHeight="1" s="17">
      <c r="A24" s="23" t="inlineStr">
        <is>
          <t>Notas: D1 resuelta → el contador no registra movimientos (HU06, HU08, HU09). D2 resuelta → solo el administrador crea categorías (HU09, HU14). HU17 y HU18 estimadas en 5 pts. HU14 pasa al Sprint 2 (11-10-2026); la migración de categorías predefinidas queda en HU17, Sprint 1. Requisitos según la Planilla de Requerimientos v2. Las subtareas técnicas de cada historia están en Jira.</t>
        </is>
      </c>
    </row>
  </sheetData>
  <autoFilter ref="A4:M22"/>
  <mergeCells count="1">
    <mergeCell ref="A24:M24"/>
  </mergeCells>
  <conditionalFormatting sqref="K5:K52">
    <cfRule type="cellIs" rank="0" priority="2" equalAverage="0" operator="equal" aboveAverage="0" dxfId="3" text="" percent="0" bottom="0">
      <formula>"Hecho"</formula>
    </cfRule>
    <cfRule type="cellIs" rank="0" priority="3" equalAverage="0" operator="equal" aboveAverage="0" dxfId="4" text="" percent="0" bottom="0">
      <formula>"En progreso"</formula>
    </cfRule>
    <cfRule type="cellIs" rank="0" priority="4" equalAverage="0" operator="equal" aboveAverage="0" dxfId="5" text="" percent="0" bottom="0">
      <formula>"En revisión"</formula>
    </cfRule>
  </conditionalFormatting>
  <conditionalFormatting sqref="L5:M52">
    <cfRule type="cellIs" rank="0" priority="5" equalAverage="0" operator="equal" aboveAverage="0" dxfId="6" text="" percent="0" bottom="0">
      <formula>"Falta RF"</formula>
    </cfRule>
  </conditionalFormatting>
  <dataValidations count="3">
    <dataValidation sqref="H5:H52" showDropDown="0" showInputMessage="0" showErrorMessage="0" allowBlank="1" type="list" errorStyle="stop" operator="between">
      <formula1>"Alta,Media,Baja"</formula1>
      <formula2>0</formula2>
    </dataValidation>
    <dataValidation sqref="K5:K52" showDropDown="0" showInputMessage="0" showErrorMessage="0" allowBlank="1" type="list" errorStyle="stop" operator="between">
      <formula1>"Por hacer,En progreso,En revisión,Hecho"</formula1>
      <formula2>0</formula2>
    </dataValidation>
    <dataValidation sqref="I5:I52" showDropDown="0" showInputMessage="0" showErrorMessage="0" allowBlank="1" type="list" errorStyle="stop" operator="between">
      <formula1>"1,2,3,5,8,13"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6" min="1" max="1"/>
    <col width="12" customWidth="1" style="16" min="2" max="2"/>
    <col width="10" customWidth="1" style="16" min="3" max="3"/>
    <col width="12" customWidth="1" style="16" min="4" max="4"/>
  </cols>
  <sheetData>
    <row r="1" ht="17.35" customHeight="1" s="17">
      <c r="A1" s="33" t="inlineStr">
        <is>
          <t>Resumen del backlog</t>
        </is>
      </c>
    </row>
    <row r="2" ht="15" customHeight="1" s="17">
      <c r="A2" s="19" t="inlineStr">
        <is>
          <t>Todo se calcula desde la hoja Product Backlog; no editar.</t>
        </is>
      </c>
    </row>
    <row r="4" ht="15" customHeight="1" s="17">
      <c r="A4" s="24" t="inlineStr">
        <is>
          <t>Por estado</t>
        </is>
      </c>
    </row>
    <row r="5" ht="15" customHeight="1" s="17">
      <c r="A5" s="20" t="inlineStr">
        <is>
          <t>Estado</t>
        </is>
      </c>
      <c r="B5" s="20" t="inlineStr">
        <is>
          <t>Historias</t>
        </is>
      </c>
      <c r="C5" s="20" t="inlineStr">
        <is>
          <t>Puntos</t>
        </is>
      </c>
      <c r="D5" s="20" t="inlineStr">
        <is>
          <t>% de puntos</t>
        </is>
      </c>
    </row>
    <row r="6" ht="15" customHeight="1" s="17">
      <c r="A6" s="25" t="inlineStr">
        <is>
          <t>Por hacer</t>
        </is>
      </c>
      <c r="B6" s="26">
        <f>COUNTIF('Product Backlog'!$K$5:$K$52,A6)</f>
        <v/>
      </c>
      <c r="C6" s="26">
        <f>SUMIF('Product Backlog'!$K$5:$K$52,A6,'Product Backlog'!$I$5:$I$52)</f>
        <v/>
      </c>
      <c r="D6" s="27">
        <f>IF(SUM($C$6:$C$9)=0,0,C6/SUM($C$6:$C$9))</f>
        <v/>
      </c>
    </row>
    <row r="7" ht="15" customHeight="1" s="17">
      <c r="A7" s="25" t="inlineStr">
        <is>
          <t>En progreso</t>
        </is>
      </c>
      <c r="B7" s="26">
        <f>COUNTIF('Product Backlog'!$K$5:$K$52,A7)</f>
        <v/>
      </c>
      <c r="C7" s="26">
        <f>SUMIF('Product Backlog'!$K$5:$K$52,A7,'Product Backlog'!$I$5:$I$52)</f>
        <v/>
      </c>
      <c r="D7" s="27">
        <f>IF(SUM($C$6:$C$9)=0,0,C7/SUM($C$6:$C$9))</f>
        <v/>
      </c>
    </row>
    <row r="8" ht="15" customHeight="1" s="17">
      <c r="A8" s="25" t="inlineStr">
        <is>
          <t>En revisión</t>
        </is>
      </c>
      <c r="B8" s="26">
        <f>COUNTIF('Product Backlog'!$K$5:$K$52,A8)</f>
        <v/>
      </c>
      <c r="C8" s="26">
        <f>SUMIF('Product Backlog'!$K$5:$K$52,A8,'Product Backlog'!$I$5:$I$52)</f>
        <v/>
      </c>
      <c r="D8" s="27">
        <f>IF(SUM($C$6:$C$9)=0,0,C8/SUM($C$6:$C$9))</f>
        <v/>
      </c>
    </row>
    <row r="9" ht="15" customHeight="1" s="17">
      <c r="A9" s="25" t="inlineStr">
        <is>
          <t>Hecho</t>
        </is>
      </c>
      <c r="B9" s="26">
        <f>COUNTIF('Product Backlog'!$K$5:$K$52,A9)</f>
        <v/>
      </c>
      <c r="C9" s="26">
        <f>SUMIF('Product Backlog'!$K$5:$K$52,A9,'Product Backlog'!$I$5:$I$52)</f>
        <v/>
      </c>
      <c r="D9" s="27">
        <f>IF(SUM($C$6:$C$9)=0,0,C9/SUM($C$6:$C$9))</f>
        <v/>
      </c>
    </row>
    <row r="10" ht="15" customHeight="1" s="17">
      <c r="A10" s="28" t="inlineStr">
        <is>
          <t>Total</t>
        </is>
      </c>
      <c r="B10" s="29">
        <f>SUM(B6:B9)</f>
        <v/>
      </c>
      <c r="C10" s="29">
        <f>SUM(C6:C9)</f>
        <v/>
      </c>
      <c r="D10" s="30">
        <f>SUM(D6:D9)</f>
        <v/>
      </c>
    </row>
    <row r="12" ht="15" customHeight="1" s="17">
      <c r="A12" s="24" t="inlineStr">
        <is>
          <t>Por sprint</t>
        </is>
      </c>
    </row>
    <row r="13" ht="15" customHeight="1" s="17">
      <c r="A13" s="20" t="inlineStr">
        <is>
          <t>Sprint</t>
        </is>
      </c>
      <c r="B13" s="20" t="inlineStr">
        <is>
          <t>Historias</t>
        </is>
      </c>
      <c r="C13" s="20" t="inlineStr">
        <is>
          <t>Puntos</t>
        </is>
      </c>
      <c r="D13" s="20" t="inlineStr">
        <is>
          <t>% de puntos</t>
        </is>
      </c>
    </row>
    <row r="14" ht="15" customHeight="1" s="17">
      <c r="A14" s="25" t="inlineStr">
        <is>
          <t>Sprint 1 — Base y acceso</t>
        </is>
      </c>
      <c r="B14" s="26">
        <f>COUNTIF('Product Backlog'!$J$5:$J$52,A14)</f>
        <v/>
      </c>
      <c r="C14" s="26">
        <f>SUMIF('Product Backlog'!$J$5:$J$52,A14,'Product Backlog'!$I$5:$I$52)</f>
        <v/>
      </c>
      <c r="D14" s="27">
        <f>IF(SUM($C$14:$C$18)=0,0,C14/SUM($C$14:$C$18))</f>
        <v/>
      </c>
    </row>
    <row r="15" ht="15" customHeight="1" s="17">
      <c r="A15" s="25" t="inlineStr">
        <is>
          <t>Sprint 2 — Equipo y registro</t>
        </is>
      </c>
      <c r="B15" s="26">
        <f>COUNTIF('Product Backlog'!$J$5:$J$52,A15)</f>
        <v/>
      </c>
      <c r="C15" s="26">
        <f>SUMIF('Product Backlog'!$J$5:$J$52,A15,'Product Backlog'!$I$5:$I$52)</f>
        <v/>
      </c>
      <c r="D15" s="27">
        <f>IF(SUM($C$14:$C$18)=0,0,C15/SUM($C$14:$C$18))</f>
        <v/>
      </c>
    </row>
    <row r="16" ht="15" customHeight="1" s="17">
      <c r="A16" s="25" t="inlineStr">
        <is>
          <t>Sprint 3 — IA y dashboard</t>
        </is>
      </c>
      <c r="B16" s="26">
        <f>COUNTIF('Product Backlog'!$J$5:$J$52,A16)</f>
        <v/>
      </c>
      <c r="C16" s="26">
        <f>SUMIF('Product Backlog'!$J$5:$J$52,A16,'Product Backlog'!$I$5:$I$52)</f>
        <v/>
      </c>
      <c r="D16" s="27">
        <f>IF(SUM($C$14:$C$18)=0,0,C16/SUM($C$14:$C$18))</f>
        <v/>
      </c>
    </row>
    <row r="17" ht="15" customHeight="1" s="17">
      <c r="A17" s="25" t="inlineStr">
        <is>
          <t>Sprint 4 — Importación masiva</t>
        </is>
      </c>
      <c r="B17" s="26">
        <f>COUNTIF('Product Backlog'!$J$5:$J$52,A17)</f>
        <v/>
      </c>
      <c r="C17" s="26">
        <f>SUMIF('Product Backlog'!$J$5:$J$52,A17,'Product Backlog'!$I$5:$I$52)</f>
        <v/>
      </c>
      <c r="D17" s="27">
        <f>IF(SUM($C$14:$C$18)=0,0,C17/SUM($C$14:$C$18))</f>
        <v/>
      </c>
    </row>
    <row r="18" ht="15" customHeight="1" s="17">
      <c r="A18" s="25" t="inlineStr">
        <is>
          <t>Sprint 5 — Finanzas y cierre</t>
        </is>
      </c>
      <c r="B18" s="26">
        <f>COUNTIF('Product Backlog'!$J$5:$J$52,A18)</f>
        <v/>
      </c>
      <c r="C18" s="26">
        <f>SUMIF('Product Backlog'!$J$5:$J$52,A18,'Product Backlog'!$I$5:$I$52)</f>
        <v/>
      </c>
      <c r="D18" s="27">
        <f>IF(SUM($C$14:$C$18)=0,0,C18/SUM($C$14:$C$18))</f>
        <v/>
      </c>
    </row>
    <row r="19" ht="15" customHeight="1" s="17">
      <c r="A19" s="28" t="inlineStr">
        <is>
          <t>Total</t>
        </is>
      </c>
      <c r="B19" s="29">
        <f>SUM(B14:B18)</f>
        <v/>
      </c>
      <c r="C19" s="29">
        <f>SUM(C14:C18)</f>
        <v/>
      </c>
      <c r="D19" s="30">
        <f>SUM(D14:D18)</f>
        <v/>
      </c>
    </row>
    <row r="21" ht="15" customHeight="1" s="17">
      <c r="A21" s="24" t="inlineStr">
        <is>
          <t>Por prioridad</t>
        </is>
      </c>
    </row>
    <row r="22" ht="15" customHeight="1" s="17">
      <c r="A22" s="20" t="inlineStr">
        <is>
          <t>Prioridad</t>
        </is>
      </c>
      <c r="B22" s="20" t="inlineStr">
        <is>
          <t>Historias</t>
        </is>
      </c>
      <c r="C22" s="20" t="inlineStr">
        <is>
          <t>Puntos</t>
        </is>
      </c>
      <c r="D22" s="20" t="inlineStr">
        <is>
          <t>% de puntos</t>
        </is>
      </c>
    </row>
    <row r="23" ht="15" customHeight="1" s="17">
      <c r="A23" s="25" t="inlineStr">
        <is>
          <t>Alta</t>
        </is>
      </c>
      <c r="B23" s="26">
        <f>COUNTIF('Product Backlog'!$H$5:$H$52,A23)</f>
        <v/>
      </c>
      <c r="C23" s="26">
        <f>SUMIF('Product Backlog'!$H$5:$H$52,A23,'Product Backlog'!$I$5:$I$52)</f>
        <v/>
      </c>
      <c r="D23" s="27">
        <f>IF(SUM($C$23:$C$25)=0,0,C23/SUM($C$23:$C$25))</f>
        <v/>
      </c>
    </row>
    <row r="24" ht="15" customHeight="1" s="17">
      <c r="A24" s="25" t="inlineStr">
        <is>
          <t>Media</t>
        </is>
      </c>
      <c r="B24" s="26">
        <f>COUNTIF('Product Backlog'!$H$5:$H$52,A24)</f>
        <v/>
      </c>
      <c r="C24" s="26">
        <f>SUMIF('Product Backlog'!$H$5:$H$52,A24,'Product Backlog'!$I$5:$I$52)</f>
        <v/>
      </c>
      <c r="D24" s="27">
        <f>IF(SUM($C$23:$C$25)=0,0,C24/SUM($C$23:$C$25))</f>
        <v/>
      </c>
    </row>
    <row r="25" ht="15" customHeight="1" s="17">
      <c r="A25" s="25" t="inlineStr">
        <is>
          <t>Baja</t>
        </is>
      </c>
      <c r="B25" s="26">
        <f>COUNTIF('Product Backlog'!$H$5:$H$52,A25)</f>
        <v/>
      </c>
      <c r="C25" s="26">
        <f>SUMIF('Product Backlog'!$H$5:$H$52,A25,'Product Backlog'!$I$5:$I$52)</f>
        <v/>
      </c>
      <c r="D25" s="27">
        <f>IF(SUM($C$23:$C$25)=0,0,C25/SUM($C$23:$C$25))</f>
        <v/>
      </c>
    </row>
    <row r="26" ht="15" customHeight="1" s="17">
      <c r="A26" s="28" t="inlineStr">
        <is>
          <t>Total</t>
        </is>
      </c>
      <c r="B26" s="29">
        <f>SUM(B23:B25)</f>
        <v/>
      </c>
      <c r="C26" s="29">
        <f>SUM(C23:C25)</f>
        <v/>
      </c>
      <c r="D26" s="30">
        <f>SUM(D23:D25)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C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16" min="1" max="1"/>
    <col width="45" customWidth="1" style="16" min="2" max="2"/>
    <col width="60" customWidth="1" style="16" min="3" max="3"/>
  </cols>
  <sheetData>
    <row r="1" ht="17.35" customHeight="1" s="17">
      <c r="A1" s="33" t="inlineStr">
        <is>
          <t>Backlog futuro (fuera de la versión 1)</t>
        </is>
      </c>
    </row>
    <row r="2" ht="15" customHeight="1" s="17">
      <c r="A2" s="19" t="inlineStr">
        <is>
          <t>Ideas registradas para no perderlas; no se estiman ni se planifican en el Capstone.</t>
        </is>
      </c>
    </row>
    <row r="4" ht="15" customHeight="1" s="17">
      <c r="A4" s="20" t="inlineStr">
        <is>
          <t>ID</t>
        </is>
      </c>
      <c r="B4" s="20" t="inlineStr">
        <is>
          <t>Ítem</t>
        </is>
      </c>
      <c r="C4" s="20" t="inlineStr">
        <is>
          <t>Motivo para dejarlo fuera de v1</t>
        </is>
      </c>
    </row>
    <row r="5" ht="15" customHeight="1" s="17">
      <c r="A5" s="22" t="inlineStr">
        <is>
          <t>BF01</t>
        </is>
      </c>
      <c r="B5" s="22" t="inlineStr">
        <is>
          <t>Integración con el SII</t>
        </is>
      </c>
      <c r="C5" s="22" t="inlineStr">
        <is>
          <t>Complejidad regulatoria y técnica; fuera del alcance acordado.</t>
        </is>
      </c>
    </row>
    <row r="6" ht="15" customHeight="1" s="17">
      <c r="A6" s="22" t="inlineStr">
        <is>
          <t>BF02</t>
        </is>
      </c>
      <c r="B6" s="22" t="inlineStr">
        <is>
          <t>Sincronización con bancos</t>
        </is>
      </c>
      <c r="C6" s="22" t="inlineStr">
        <is>
          <t>Requiere convenios/APIs bancarias; fuera del alcance acordado.</t>
        </is>
      </c>
    </row>
    <row r="7" ht="15" customHeight="1" s="17">
      <c r="A7" s="22" t="inlineStr">
        <is>
          <t>BF03</t>
        </is>
      </c>
      <c r="B7" s="22" t="inlineStr">
        <is>
          <t>Montos en otras monedas</t>
        </is>
      </c>
      <c r="C7" s="22" t="inlineStr">
        <is>
          <t>v1 trabaja solo en CLP, montos enteros.</t>
        </is>
      </c>
    </row>
    <row r="8" ht="15" customHeight="1" s="17">
      <c r="A8" s="22" t="inlineStr">
        <is>
          <t>BF04</t>
        </is>
      </c>
      <c r="B8" s="22" t="inlineStr">
        <is>
          <t>Aplicación móvil nativa</t>
        </is>
      </c>
      <c r="C8" s="22" t="inlineStr">
        <is>
          <t>Se cubre con web responsive instalable como PWA.</t>
        </is>
      </c>
    </row>
    <row r="9" ht="15" customHeight="1" s="17">
      <c r="A9" s="22" t="inlineStr">
        <is>
          <t>BF05</t>
        </is>
      </c>
      <c r="B9" s="22" t="inlineStr">
        <is>
          <t>Envío automático de correos de invitación</t>
        </is>
      </c>
      <c r="C9" s="22" t="inlineStr">
        <is>
          <t>En v1 el administrador comparte el link manualmente (HU02).</t>
        </is>
      </c>
    </row>
    <row r="10" ht="15" customHeight="1" s="17">
      <c r="A10" s="22" t="inlineStr">
        <is>
          <t>BF06</t>
        </is>
      </c>
      <c r="B10" s="22" t="inlineStr">
        <is>
          <t>Alertas al acercarse al límite del presupuesto</t>
        </is>
      </c>
      <c r="C10" s="22" t="inlineStr">
        <is>
          <t>Extensión de HU15; se prioriza después de v1.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B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6" min="1" max="1"/>
    <col width="90" customWidth="1" style="16" min="2" max="2"/>
  </cols>
  <sheetData>
    <row r="1" ht="17.35" customHeight="1" s="17">
      <c r="A1" s="33" t="inlineStr">
        <is>
          <t>Cómo mantener este backlog</t>
        </is>
      </c>
    </row>
    <row r="3" ht="15" customHeight="1" s="17">
      <c r="A3" s="31" t="inlineStr">
        <is>
          <t>Campo</t>
        </is>
      </c>
      <c r="B3" s="31" t="inlineStr">
        <is>
          <t>Significado</t>
        </is>
      </c>
    </row>
    <row r="4" ht="15" customHeight="1" s="17">
      <c r="A4" s="32" t="inlineStr">
        <is>
          <t>Orden</t>
        </is>
      </c>
      <c r="B4" s="22" t="inlineStr">
        <is>
          <t>Posición en la lista. Para repriorizar, mover la fila completa y renumerar.</t>
        </is>
      </c>
    </row>
    <row r="5" ht="23.85" customHeight="1" s="17">
      <c r="A5" s="32" t="inlineStr">
        <is>
          <t>Prioridad</t>
        </is>
      </c>
      <c r="B5" s="22" t="inlineStr">
        <is>
          <t>Alta = necesaria para que el producto funcione; Media = parte del alcance v1; Baja = se puede postergar si falta tiempo.</t>
        </is>
      </c>
    </row>
    <row r="6" ht="15" customHeight="1" s="17">
      <c r="A6" s="32" t="inlineStr">
        <is>
          <t>Puntos</t>
        </is>
      </c>
      <c r="B6" s="22" t="inlineStr">
        <is>
          <t>Estimación relativa de esfuerzo (Fibonacci: 1, 2, 3, 5, 8, 13). La estima el Desarrollador.</t>
        </is>
      </c>
    </row>
    <row r="7" ht="23.85" customHeight="1" s="17">
      <c r="A7" s="32" t="inlineStr">
        <is>
          <t>Sprint</t>
        </is>
      </c>
      <c r="B7" s="22" t="inlineStr">
        <is>
          <t>Sprint de Jira en que se planifica la historia (2 semanas cada uno; fechas y Sprint Goal en Jira y en el Sprint Backlog).</t>
        </is>
      </c>
    </row>
    <row r="8" ht="15" customHeight="1" s="17">
      <c r="A8" s="32" t="inlineStr">
        <is>
          <t>Estado</t>
        </is>
      </c>
      <c r="B8" s="22" t="inlineStr">
        <is>
          <t>Por hacer · En progreso · En revisión · Hecho. Se actualiza al cierre de cada Sprint.</t>
        </is>
      </c>
    </row>
    <row r="9" ht="15" customHeight="1" s="17">
      <c r="A9" s="32" t="inlineStr">
        <is>
          <t>Depende de</t>
        </is>
      </c>
      <c r="B9" s="22" t="inlineStr">
        <is>
          <t>Historias que deben estar terminadas antes.</t>
        </is>
      </c>
    </row>
    <row r="10" ht="15" customHeight="1" s="17">
      <c r="A10" s="32" t="inlineStr">
        <is>
          <t>Requisitos (RF)</t>
        </is>
      </c>
      <c r="B10" s="22" t="inlineStr">
        <is>
          <t>Requisito funcional de la Planilla de Requerimientos que cubre la historia.</t>
        </is>
      </c>
    </row>
    <row r="11" ht="15" customHeight="1" s="17">
      <c r="A11" s="32" t="inlineStr">
        <is>
          <t>Columnas editables</t>
        </is>
      </c>
      <c r="B11" s="22" t="inlineStr">
        <is>
          <t>Orden, Prioridad, Puntos, Sprint, Estado y Depende de. La hoja Resumen se calcula sola.</t>
        </is>
      </c>
    </row>
    <row r="12" ht="15" customHeight="1" s="17">
      <c r="A12" s="32" t="inlineStr">
        <is>
          <t>Criterios de aceptación</t>
        </is>
      </c>
      <c r="B12" s="22" t="inlineStr">
        <is>
          <t>Están en el documento Historias de Usuario v1.1 y en cada ticket de Jira.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2026-10-11T22:16:08Z</dcterms:created>
  <dcterms:modified xsi:type="dcterms:W3CDTF">2026-10-13T03:32:58Z</dcterms:modified>
  <cp:revision>0</cp:revision>
</cp:coreProperties>
</file>