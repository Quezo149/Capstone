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  <sheet name="Supuestos" sheetId="2" state="visible" r:id="rId4"/>
    <sheet name="Detalle calculador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<sst xmlns="http://schemas.openxmlformats.org/spreadsheetml/2006/main" count="140" uniqueCount="117">
  <si>
    <t xml:space="preserve">Presupuesto estimado — KontadorIA</t>
  </si>
  <si>
    <t xml:space="preserve">Costo mensual proyectado de la operación comercial con la arquitectura actual. Escenario base: 10 PYMEs (ver hoja Supuestos).</t>
  </si>
  <si>
    <t xml:space="preserve">Categoría</t>
  </si>
  <si>
    <t xml:space="preserve">Servicio</t>
  </si>
  <si>
    <t xml:space="preserve">Uso en KontadorIA</t>
  </si>
  <si>
    <t xml:space="preserve">Región</t>
  </si>
  <si>
    <t xml:space="preserve">Configuración</t>
  </si>
  <si>
    <t xml:space="preserve">Costo mensual</t>
  </si>
  <si>
    <t xml:space="preserve">Costo inicial</t>
  </si>
  <si>
    <t xml:space="preserve">Nota</t>
  </si>
  <si>
    <t xml:space="preserve">Cómputo</t>
  </si>
  <si>
    <t xml:space="preserve">Azure Functions</t>
  </si>
  <si>
    <t xml:space="preserve">Backend: API FastAPI</t>
  </si>
  <si>
    <t xml:space="preserve">West US</t>
  </si>
  <si>
    <t xml:space="preserve">Flex Consumption · 2.048 MB por instancia · 100.000 ejecuciones/mes · 300 ms promedio</t>
  </si>
  <si>
    <t xml:space="preserve">Dentro de la cuota gratuita mensual.</t>
  </si>
  <si>
    <t xml:space="preserve">Base de datos</t>
  </si>
  <si>
    <t xml:space="preserve">Azure SQL Database</t>
  </si>
  <si>
    <t xml:space="preserve">Base de datos con Row-Level Security</t>
  </si>
  <si>
    <t xml:space="preserve">Base única · modelo DTU · Standard S0 (10 DTU) · 250 GB · backup LRS</t>
  </si>
  <si>
    <t xml:space="preserve">Costo fijo; es el mayor componente.</t>
  </si>
  <si>
    <t xml:space="preserve">Almacenamiento</t>
  </si>
  <si>
    <t xml:space="preserve">Storage Account (documentos)</t>
  </si>
  <si>
    <t xml:space="preserve">Fotos y PDF de boletas y facturas</t>
  </si>
  <si>
    <t xml:space="preserve">North Central US</t>
  </si>
  <si>
    <t xml:space="preserve">Blob GPv2 · LRS · nivel Hot · 20 GB</t>
  </si>
  <si>
    <t xml:space="preserve">Crece con los documentos guardados.</t>
  </si>
  <si>
    <t xml:space="preserve">Storage Account (runtime)</t>
  </si>
  <si>
    <t xml:space="preserve">Almacenamiento interno de Azure Functions</t>
  </si>
  <si>
    <t xml:space="preserve">Blob GPv2 · LRS · nivel Hot · 1 GB</t>
  </si>
  <si>
    <t xml:space="preserve">IA</t>
  </si>
  <si>
    <t xml:space="preserve">Azure AI Document Intelligence</t>
  </si>
  <si>
    <t xml:space="preserve">Extracción de datos de boletas y facturas</t>
  </si>
  <si>
    <t xml:space="preserve">S0 pago por uso · 1.000 páginas/mes con modelos precompilados</t>
  </si>
  <si>
    <t xml:space="preserve">Costo variable: US$ 0,01 por página.</t>
  </si>
  <si>
    <t xml:space="preserve">Identidad</t>
  </si>
  <si>
    <t xml:space="preserve">Microsoft Entra External ID</t>
  </si>
  <si>
    <t xml:space="preserve">Inicio de sesión y registro de usuarios</t>
  </si>
  <si>
    <t xml:space="preserve">30 usuarios activos al mes</t>
  </si>
  <si>
    <t xml:space="preserve">Gratis hasta 50.000 usuarios activos al mes.</t>
  </si>
  <si>
    <t xml:space="preserve">Monitoreo</t>
  </si>
  <si>
    <t xml:space="preserve">Azure Monitor (Application Insights)</t>
  </si>
  <si>
    <t xml:space="preserve">Monitoreo, errores y logs</t>
  </si>
  <si>
    <t xml:space="preserve">Log Analytics · 0,1 GB/día</t>
  </si>
  <si>
    <t xml:space="preserve">Dentro de los 5 GB mensuales gratuitos.</t>
  </si>
  <si>
    <t xml:space="preserve">Frontend</t>
  </si>
  <si>
    <t xml:space="preserve">Netlify</t>
  </si>
  <si>
    <t xml:space="preserve">Hosting de la aplicación web y la landing</t>
  </si>
  <si>
    <t xml:space="preserve">—</t>
  </si>
  <si>
    <t xml:space="preserve">Plan gratuito</t>
  </si>
  <si>
    <t xml:space="preserve">Fuera de Azure; no está en la calculadora.</t>
  </si>
  <si>
    <t xml:space="preserve">DevOps</t>
  </si>
  <si>
    <t xml:space="preserve">GitHub y GitHub Actions</t>
  </si>
  <si>
    <t xml:space="preserve">Repositorio y CI/CD</t>
  </si>
  <si>
    <t xml:space="preserve">Total mensual estimado</t>
  </si>
  <si>
    <t xml:space="preserve">Indicadores</t>
  </si>
  <si>
    <t xml:space="preserve">Costo anual estimado</t>
  </si>
  <si>
    <t xml:space="preserve">Total mensual × 12.</t>
  </si>
  <si>
    <t xml:space="preserve">PYMEs en el escenario</t>
  </si>
  <si>
    <t xml:space="preserve">Desde la hoja Supuestos.</t>
  </si>
  <si>
    <t xml:space="preserve">Costo mensual por PYME</t>
  </si>
  <si>
    <t xml:space="preserve">Referencia para fijar el precio de los planes.</t>
  </si>
  <si>
    <t xml:space="preserve">Costo de IA por boleta</t>
  </si>
  <si>
    <t xml:space="preserve">Solo carga por foto o PDF; la importación CSV/XLSX no tiene costo de IA.</t>
  </si>
  <si>
    <t xml:space="preserve">Tipo de cambio (CLP por USD)</t>
  </si>
  <si>
    <t xml:space="preserve">Dólar al 13-10-2026.</t>
  </si>
  <si>
    <t xml:space="preserve">Total mensual en CLP</t>
  </si>
  <si>
    <t xml:space="preserve">Total mensual × tipo de cambio.</t>
  </si>
  <si>
    <t xml:space="preserve">Total anual en CLP</t>
  </si>
  <si>
    <t xml:space="preserve">Costo anual × tipo de cambio.</t>
  </si>
  <si>
    <t xml:space="preserve">Durante el Capstone la plataforma opera con los créditos y cuotas gratuitas de Azure for Students: el costo real del proyecto es US$ 0.</t>
  </si>
  <si>
    <t xml:space="preserve">Fuente: Azure Pricing Calculator (precios de referencia en USD, sin impuestos). Estimación creada el 10/13/2026 2:48:54 AM UTC.</t>
  </si>
  <si>
    <t xml:space="preserve">Netlify, Entra External ID, Application Insights y GitHub según sus niveles gratuitos.</t>
  </si>
  <si>
    <t xml:space="preserve">Supuestos del escenario</t>
  </si>
  <si>
    <t xml:space="preserve">Volumen de uso con que se cotizó cada servicio. Las celdas amarillas son los datos del escenario.</t>
  </si>
  <si>
    <t xml:space="preserve">Supuesto</t>
  </si>
  <si>
    <t xml:space="preserve">Valor</t>
  </si>
  <si>
    <t xml:space="preserve">Unidad</t>
  </si>
  <si>
    <t xml:space="preserve">Cómo se usa</t>
  </si>
  <si>
    <t xml:space="preserve">PYMEs activas</t>
  </si>
  <si>
    <t xml:space="preserve">empresas</t>
  </si>
  <si>
    <t xml:space="preserve">Escenario comercial inicial.</t>
  </si>
  <si>
    <t xml:space="preserve">Usuarios activos al mes</t>
  </si>
  <si>
    <t xml:space="preserve">usuarios</t>
  </si>
  <si>
    <t xml:space="preserve">Unos 3 por PYME (dueño, contador, empleado). Entra External ID.</t>
  </si>
  <si>
    <t xml:space="preserve">Boletas o facturas procesadas con IA</t>
  </si>
  <si>
    <t xml:space="preserve">páginas/mes</t>
  </si>
  <si>
    <t xml:space="preserve">100 por PYME al mes. Document Intelligence.</t>
  </si>
  <si>
    <t xml:space="preserve">Costo de IA por página</t>
  </si>
  <si>
    <t xml:space="preserve">US$/página</t>
  </si>
  <si>
    <t xml:space="preserve">Costo de Document Intelligence / páginas procesadas.</t>
  </si>
  <si>
    <t xml:space="preserve">Ejecuciones del backend</t>
  </si>
  <si>
    <t xml:space="preserve">ejecuciones/mes</t>
  </si>
  <si>
    <t xml:space="preserve">Azure Functions, con 300 ms promedio por ejecución.</t>
  </si>
  <si>
    <t xml:space="preserve">Documentos almacenados</t>
  </si>
  <si>
    <t xml:space="preserve">GB</t>
  </si>
  <si>
    <t xml:space="preserve">Fotos y PDF de respaldo. Blob Storage.</t>
  </si>
  <si>
    <t xml:space="preserve">Logs de monitoreo</t>
  </si>
  <si>
    <t xml:space="preserve">GB/día</t>
  </si>
  <si>
    <t xml:space="preserve">Application Insights / Log Analytics.</t>
  </si>
  <si>
    <t xml:space="preserve">Notas</t>
  </si>
  <si>
    <t xml:space="preserve">• Si cambian los supuestos, se debe volver a cotizar en la calculadora: los costos de la hoja Presupuesto vienen de ella y no se recalculan solos (salvo los indicadores).</t>
  </si>
  <si>
    <t xml:space="preserve">• Base de datos: se cotizó Standard S0 (costo fijo y predecible). Lo desplegado hoy es Azure SQL serverless con auto-pausa, que en el Capstone usa la oferta gratuita.</t>
  </si>
  <si>
    <t xml:space="preserve">• El costo que crece con el uso es Document Intelligence; la importación CSV/XLSX es la vía más económica para cargar grandes volúmenes.</t>
  </si>
  <si>
    <t xml:space="preserve">Detalle de la Azure Pricing Calculator</t>
  </si>
  <si>
    <t xml:space="preserve">Descripción completa de cada servicio, tal como la exporta la calculadora.</t>
  </si>
  <si>
    <t xml:space="preserve">Descripción</t>
  </si>
  <si>
    <t xml:space="preserve">Flex Consumption tier, 2048 MB Instance memory size, 10.000 x10 On demand executions per month, 30.000 Active on demand executions seconds per instance, 1 Active on demand instances</t>
  </si>
  <si>
    <t xml:space="preserve">Base de datos única, modelo de compra DTU, nivel Estándar Tier, S0: 10 DTU, 250 GB de almacenamiento incluido por base de datos, 1 bases de datos x 730 Horas, 250 GB de almacenamiento, LRS Redundancia de almacenamiento de copia de seguridad,  0 x 0 GB Retención a largo plazo</t>
  </si>
  <si>
    <t xml:space="preserve">Almacenamiento de blobs en bloque, Uso general V2, Espacio de nombres plano, LRS Redundancia, Acceso frecuente Nivel de acceso, Capacidad: 20 GB - Pago por uso, 1 x 10 000 operaciones de escritura, 1 x 10 000 operaciones de lista y operación de creación de contenedores, 5 x 10 000 operaciones de lectura, 0 x 10 000 otras operaciones. 0 GB de recuperación de datos, 1000 GB de escritura de datos, SFTP deshabilitado, Object Replication disabled</t>
  </si>
  <si>
    <t xml:space="preserve">Storage Account (runtime de Functions)</t>
  </si>
  <si>
    <t xml:space="preserve">Almacenamiento de blobs en bloque, Uso general V2, Espacio de nombres plano, LRS Redundancia, Acceso frecuente Nivel de acceso, Capacidad: 1 GB - Pago por uso, 1 x 10 000 operaciones de escritura, 1 x 10 000 operaciones de lista y operación de creación de contenedores, 5 x 10 000 operaciones de lectura, 0 x 10 000 otras operaciones. 0 GB de recuperación de datos, 1000 GB de escritura de datos, SFTP deshabilitado, Object Replication disabled</t>
  </si>
  <si>
    <t xml:space="preserve">Azure Document Intelligence in Foundry Tools</t>
  </si>
  <si>
    <t xml:space="preserve">Pago por uso, S0 instance : 0 x 1,000 Read pages, 1 x 1,000 Pre-built pages, 0 x 1,000 Custom Classification pages, 0 x 1,000 Custom Extraction pages, 0 x 1,000 Add-on pages, 0 x 1,000 Query pages, 0 hours of Paid Training.</t>
  </si>
  <si>
    <t xml:space="preserve">30 Usuarios activos mensuales</t>
  </si>
  <si>
    <t xml:space="preserve">Azure Monitor</t>
  </si>
  <si>
    <t xml:space="preserve">Log Analytics: Log Data Ingestion: 0 GB Daily Auxiliary Logs without processing, 0 GB Daily Auxiliary Logs with processing, 0 GB Daily Basic logs, 0.1 GB Daily Analytics logs ingested, 1 months of Interactive Retention, 0 months of Retention, 0 GB data restored for 0 days, 0 queries per day with 0 GB data scanned per query, 0 GB of Log Data Exported per day, Platform Log Data Processed per day: 0 GB with Destination to Storage or Event Hub and 0 GB with Destination to Marketplace Partners, 0 Search job Queries per day with 0 GB data scanned per query; 0 Puntos de conexión de MI de SCOM; Metrics: Using default collection estimation method 0 API calls, (with a cluster of 0 linux nodes, 0 Windows nodes, 0 containers, and 0 pods), 0 Average daily Dashboards users, 7 Dashboards, 50000 Data samples queried per dashboard, 25 promql alerting rules, 25 promql recording rules, 0 metrics datapoints exported; Application Insights: 0 GB de registros de análisis diarios ingeridos, 3 meses de retención de los datos, 0 pruebas web Estándar, 5 minutos frecuencia de ejecución, Ejecutar durante 730 horas; 0 recursos supervisados X 1 serie temporal métrica supervisada por recurso, 5 minutos Frecuencia de señal de registro con 0 señales de registro series temporales y 1 supervisadas por señal, 0 eventos adicionales (en miles), 0 correos electrónicos adicionales (en 100 000), 0 notificaciones push adicionales (en 100 000), 0 webhooks adicionales (en millones)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</si>
</sst>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US$ &quot;#,##0.00"/>
    <numFmt numFmtId="166" formatCode="0"/>
    <numFmt numFmtId="167" formatCode="&quot;US$ &quot;#,##0.000"/>
    <numFmt numFmtId="168" formatCode="#,##0.00"/>
    <numFmt numFmtId="169" formatCode="&quot;$ &quot;#,##0"/>
    <numFmt numFmtId="170" formatCode="#,##0.##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73763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73763"/>
      <name val="Arial"/>
      <family val="0"/>
      <charset val="1"/>
    </font>
    <font>
      <sz val="10"/>
      <color rgb="FF262626"/>
      <name val="Arial"/>
      <family val="0"/>
      <charset val="1"/>
    </font>
    <font>
      <b val="true"/>
      <sz val="12"/>
      <color rgb="FF073763"/>
      <name val="Arial"/>
      <family val="0"/>
      <charset val="1"/>
    </font>
    <font>
      <b val="true"/>
      <sz val="10"/>
      <color rgb="FF26262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9"/>
      <color rgb="FF073763"/>
      <name val="Arial"/>
      <family val="0"/>
      <charset val="1"/>
    </font>
    <font>
      <sz val="9"/>
      <color rgb="FF26262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73763"/>
        <bgColor rgb="FF262626"/>
      </patternFill>
    </fill>
    <fill>
      <patternFill patternType="solid">
        <fgColor rgb="FFF5F8FC"/>
        <bgColor rgb="FFFFFFFF"/>
      </patternFill>
    </fill>
    <fill>
      <patternFill patternType="solid">
        <fgColor rgb="FFFFFDE7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E1EC"/>
      </left>
      <right style="thin">
        <color rgb="FFD9E1EC"/>
      </right>
      <top style="thin">
        <color rgb="FFD9E1EC"/>
      </top>
      <bottom style="thin">
        <color rgb="FFD9E1E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8" fontId="10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9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DE7"/>
      <rgbColor rgb="FFF5F8FC"/>
      <rgbColor rgb="FF660066"/>
      <rgbColor rgb="FFFF8080"/>
      <rgbColor rgb="FF0066CC"/>
      <rgbColor rgb="FFD9E1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73763"/>
      <rgbColor rgb="FF339966"/>
      <rgbColor rgb="FF003300"/>
      <rgbColor rgb="FF333300"/>
      <rgbColor rgb="FF993300"/>
      <rgbColor rgb="FF993366"/>
      <rgbColor rgb="FF333399"/>
      <rgbColor rgb="FF26262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22" activeCellId="0" sqref="D22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30"/>
    <col collapsed="false" customWidth="true" hidden="false" outlineLevel="0" max="4" min="4" style="0" width="15"/>
    <col collapsed="false" customWidth="true" hidden="false" outlineLevel="0" max="5" min="5" style="0" width="44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23.85" hidden="false" customHeight="false" outlineLevel="0" collapsed="false">
      <c r="A5" s="4" t="s">
        <v>10</v>
      </c>
      <c r="B5" s="5" t="s">
        <v>11</v>
      </c>
      <c r="C5" s="5" t="s">
        <v>12</v>
      </c>
      <c r="D5" s="5" t="s">
        <v>13</v>
      </c>
      <c r="E5" s="5" t="s">
        <v>14</v>
      </c>
      <c r="F5" s="6" t="n">
        <v>0</v>
      </c>
      <c r="G5" s="6" t="n">
        <v>0</v>
      </c>
      <c r="H5" s="5" t="s">
        <v>15</v>
      </c>
    </row>
    <row r="6" customFormat="false" ht="23.85" hidden="false" customHeight="false" outlineLevel="0" collapsed="false">
      <c r="A6" s="4" t="s">
        <v>16</v>
      </c>
      <c r="B6" s="5" t="s">
        <v>17</v>
      </c>
      <c r="C6" s="5" t="s">
        <v>18</v>
      </c>
      <c r="D6" s="5" t="s">
        <v>13</v>
      </c>
      <c r="E6" s="5" t="s">
        <v>19</v>
      </c>
      <c r="F6" s="6" t="n">
        <v>14.718625</v>
      </c>
      <c r="G6" s="6" t="n">
        <v>0</v>
      </c>
      <c r="H6" s="5" t="s">
        <v>20</v>
      </c>
    </row>
    <row r="7" customFormat="false" ht="15" hidden="false" customHeight="false" outlineLevel="0" collapsed="false">
      <c r="A7" s="4" t="s">
        <v>21</v>
      </c>
      <c r="B7" s="5" t="s">
        <v>22</v>
      </c>
      <c r="C7" s="5" t="s">
        <v>23</v>
      </c>
      <c r="D7" s="5" t="s">
        <v>24</v>
      </c>
      <c r="E7" s="5" t="s">
        <v>25</v>
      </c>
      <c r="F7" s="6" t="n">
        <v>0.536</v>
      </c>
      <c r="G7" s="6" t="n">
        <v>0</v>
      </c>
      <c r="H7" s="5" t="s">
        <v>26</v>
      </c>
    </row>
    <row r="8" customFormat="false" ht="23.85" hidden="false" customHeight="false" outlineLevel="0" collapsed="false">
      <c r="A8" s="4" t="s">
        <v>21</v>
      </c>
      <c r="B8" s="5" t="s">
        <v>27</v>
      </c>
      <c r="C8" s="5" t="s">
        <v>28</v>
      </c>
      <c r="D8" s="5" t="s">
        <v>13</v>
      </c>
      <c r="E8" s="5" t="s">
        <v>29</v>
      </c>
      <c r="F8" s="6" t="n">
        <v>0.1528</v>
      </c>
      <c r="G8" s="6" t="n">
        <v>0</v>
      </c>
      <c r="H8" s="5"/>
    </row>
    <row r="9" customFormat="false" ht="23.85" hidden="false" customHeight="false" outlineLevel="0" collapsed="false">
      <c r="A9" s="4" t="s">
        <v>30</v>
      </c>
      <c r="B9" s="5" t="s">
        <v>31</v>
      </c>
      <c r="C9" s="5" t="s">
        <v>32</v>
      </c>
      <c r="D9" s="5" t="s">
        <v>13</v>
      </c>
      <c r="E9" s="5" t="s">
        <v>33</v>
      </c>
      <c r="F9" s="6" t="n">
        <v>10</v>
      </c>
      <c r="G9" s="6" t="n">
        <v>0</v>
      </c>
      <c r="H9" s="5" t="s">
        <v>34</v>
      </c>
    </row>
    <row r="10" customFormat="false" ht="23.85" hidden="false" customHeight="false" outlineLevel="0" collapsed="false">
      <c r="A10" s="4" t="s">
        <v>35</v>
      </c>
      <c r="B10" s="5" t="s">
        <v>36</v>
      </c>
      <c r="C10" s="5" t="s">
        <v>37</v>
      </c>
      <c r="D10" s="5" t="s">
        <v>13</v>
      </c>
      <c r="E10" s="5" t="s">
        <v>38</v>
      </c>
      <c r="F10" s="6" t="n">
        <v>0</v>
      </c>
      <c r="G10" s="6" t="n">
        <v>0</v>
      </c>
      <c r="H10" s="5" t="s">
        <v>39</v>
      </c>
    </row>
    <row r="11" customFormat="false" ht="15" hidden="false" customHeight="false" outlineLevel="0" collapsed="false">
      <c r="A11" s="4" t="s">
        <v>40</v>
      </c>
      <c r="B11" s="5" t="s">
        <v>41</v>
      </c>
      <c r="C11" s="5" t="s">
        <v>42</v>
      </c>
      <c r="D11" s="5" t="s">
        <v>13</v>
      </c>
      <c r="E11" s="5" t="s">
        <v>43</v>
      </c>
      <c r="F11" s="6" t="n">
        <v>0</v>
      </c>
      <c r="G11" s="6" t="n">
        <v>0</v>
      </c>
      <c r="H11" s="5" t="s">
        <v>44</v>
      </c>
    </row>
    <row r="12" customFormat="false" ht="23.85" hidden="false" customHeight="false" outlineLevel="0" collapsed="false">
      <c r="A12" s="4" t="s">
        <v>45</v>
      </c>
      <c r="B12" s="5" t="s">
        <v>46</v>
      </c>
      <c r="C12" s="5" t="s">
        <v>47</v>
      </c>
      <c r="D12" s="5" t="s">
        <v>48</v>
      </c>
      <c r="E12" s="5" t="s">
        <v>49</v>
      </c>
      <c r="F12" s="6" t="n">
        <v>0</v>
      </c>
      <c r="G12" s="6" t="n">
        <v>0</v>
      </c>
      <c r="H12" s="5" t="s">
        <v>50</v>
      </c>
    </row>
    <row r="13" customFormat="false" ht="23.85" hidden="false" customHeight="false" outlineLevel="0" collapsed="false">
      <c r="A13" s="4" t="s">
        <v>51</v>
      </c>
      <c r="B13" s="5" t="s">
        <v>52</v>
      </c>
      <c r="C13" s="5" t="s">
        <v>53</v>
      </c>
      <c r="D13" s="5" t="s">
        <v>48</v>
      </c>
      <c r="E13" s="5" t="s">
        <v>49</v>
      </c>
      <c r="F13" s="6" t="n">
        <v>0</v>
      </c>
      <c r="G13" s="6" t="n">
        <v>0</v>
      </c>
      <c r="H13" s="5" t="s">
        <v>50</v>
      </c>
    </row>
    <row r="14" customFormat="false" ht="15" hidden="false" customHeight="false" outlineLevel="0" collapsed="false">
      <c r="A14" s="7" t="s">
        <v>54</v>
      </c>
      <c r="B14" s="7"/>
      <c r="C14" s="7"/>
      <c r="D14" s="7"/>
      <c r="E14" s="7"/>
      <c r="F14" s="8" t="n">
        <f aca="false">SUM(F5:F13)</f>
        <v>25.407425</v>
      </c>
      <c r="G14" s="8" t="n">
        <f aca="false">SUM(G5:G13)</f>
        <v>0</v>
      </c>
      <c r="H14" s="7"/>
    </row>
    <row r="16" customFormat="false" ht="15" hidden="false" customHeight="false" outlineLevel="0" collapsed="false">
      <c r="A16" s="9" t="s">
        <v>55</v>
      </c>
    </row>
    <row r="17" customFormat="false" ht="15" hidden="false" customHeight="false" outlineLevel="0" collapsed="false">
      <c r="A17" s="10" t="s">
        <v>56</v>
      </c>
      <c r="B17" s="10"/>
      <c r="C17" s="11" t="n">
        <f aca="false">F14*12</f>
        <v>304.8891</v>
      </c>
      <c r="D17" s="12" t="s">
        <v>57</v>
      </c>
    </row>
    <row r="18" customFormat="false" ht="15" hidden="false" customHeight="false" outlineLevel="0" collapsed="false">
      <c r="A18" s="10" t="s">
        <v>58</v>
      </c>
      <c r="B18" s="10"/>
      <c r="C18" s="13" t="n">
        <f aca="false">Supuestos!B5</f>
        <v>10</v>
      </c>
      <c r="D18" s="12" t="s">
        <v>59</v>
      </c>
    </row>
    <row r="19" customFormat="false" ht="15" hidden="false" customHeight="false" outlineLevel="0" collapsed="false">
      <c r="A19" s="10" t="s">
        <v>60</v>
      </c>
      <c r="B19" s="10"/>
      <c r="C19" s="11" t="n">
        <f aca="false">F14/Supuestos!B5</f>
        <v>2.5407425</v>
      </c>
      <c r="D19" s="12" t="s">
        <v>61</v>
      </c>
    </row>
    <row r="20" customFormat="false" ht="15" hidden="false" customHeight="false" outlineLevel="0" collapsed="false">
      <c r="A20" s="10" t="s">
        <v>62</v>
      </c>
      <c r="B20" s="10"/>
      <c r="C20" s="14" t="n">
        <f aca="false">Supuestos!B8</f>
        <v>0.01</v>
      </c>
      <c r="D20" s="12" t="s">
        <v>63</v>
      </c>
    </row>
    <row r="21" customFormat="false" ht="15" hidden="false" customHeight="false" outlineLevel="0" collapsed="false">
      <c r="A21" s="10" t="s">
        <v>64</v>
      </c>
      <c r="B21" s="10"/>
      <c r="C21" s="15" t="n">
        <v>976.88</v>
      </c>
      <c r="D21" s="12" t="s">
        <v>65</v>
      </c>
    </row>
    <row r="22" customFormat="false" ht="15" hidden="false" customHeight="false" outlineLevel="0" collapsed="false">
      <c r="A22" s="10" t="s">
        <v>66</v>
      </c>
      <c r="B22" s="10"/>
      <c r="C22" s="16" t="n">
        <f aca="false">IF(C21="","",F14*C21)</f>
        <v>24820.005334</v>
      </c>
      <c r="D22" s="12" t="s">
        <v>67</v>
      </c>
    </row>
    <row r="23" customFormat="false" ht="15" hidden="false" customHeight="false" outlineLevel="0" collapsed="false">
      <c r="A23" s="10" t="s">
        <v>68</v>
      </c>
      <c r="B23" s="10"/>
      <c r="C23" s="16" t="n">
        <f aca="false">IF(C21="","",F14*12*C21)</f>
        <v>297840.064008</v>
      </c>
      <c r="D23" s="12" t="s">
        <v>69</v>
      </c>
    </row>
    <row r="25" customFormat="false" ht="15" hidden="false" customHeight="false" outlineLevel="0" collapsed="false">
      <c r="A25" s="17" t="s">
        <v>70</v>
      </c>
    </row>
    <row r="26" customFormat="false" ht="15" hidden="false" customHeight="false" outlineLevel="0" collapsed="false">
      <c r="A26" s="17" t="s">
        <v>71</v>
      </c>
    </row>
    <row r="27" customFormat="false" ht="15" hidden="false" customHeight="false" outlineLevel="0" collapsed="false">
      <c r="A27" s="17" t="s">
        <v>72</v>
      </c>
    </row>
  </sheetData>
  <mergeCells count="8">
    <mergeCell ref="A14:E14"/>
    <mergeCell ref="A17:B17"/>
    <mergeCell ref="A18:B18"/>
    <mergeCell ref="A19:B19"/>
    <mergeCell ref="A20:B20"/>
    <mergeCell ref="A21:B21"/>
    <mergeCell ref="A22:B22"/>
    <mergeCell ref="A23:B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9" activeCellId="0" sqref="D9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4"/>
    <col collapsed="false" customWidth="true" hidden="false" outlineLevel="0" max="3" min="3" style="0" width="18"/>
    <col collapsed="false" customWidth="true" hidden="false" outlineLevel="0" max="4" min="4" style="0" width="62"/>
  </cols>
  <sheetData>
    <row r="1" customFormat="false" ht="19.7" hidden="false" customHeight="false" outlineLevel="0" collapsed="false">
      <c r="A1" s="1" t="s">
        <v>73</v>
      </c>
    </row>
    <row r="2" customFormat="false" ht="15" hidden="false" customHeight="false" outlineLevel="0" collapsed="false">
      <c r="A2" s="2" t="s">
        <v>74</v>
      </c>
    </row>
    <row r="4" customFormat="false" ht="30" hidden="false" customHeight="true" outlineLevel="0" collapsed="false">
      <c r="A4" s="3" t="s">
        <v>75</v>
      </c>
      <c r="B4" s="3" t="s">
        <v>76</v>
      </c>
      <c r="C4" s="3" t="s">
        <v>77</v>
      </c>
      <c r="D4" s="3" t="s">
        <v>78</v>
      </c>
    </row>
    <row r="5" customFormat="false" ht="15" hidden="false" customHeight="false" outlineLevel="0" collapsed="false">
      <c r="A5" s="4" t="s">
        <v>79</v>
      </c>
      <c r="B5" s="18" t="n">
        <v>10</v>
      </c>
      <c r="C5" s="5" t="s">
        <v>80</v>
      </c>
      <c r="D5" s="5" t="s">
        <v>81</v>
      </c>
    </row>
    <row r="6" customFormat="false" ht="15" hidden="false" customHeight="false" outlineLevel="0" collapsed="false">
      <c r="A6" s="4" t="s">
        <v>82</v>
      </c>
      <c r="B6" s="18" t="n">
        <v>30</v>
      </c>
      <c r="C6" s="5" t="s">
        <v>83</v>
      </c>
      <c r="D6" s="5" t="s">
        <v>84</v>
      </c>
    </row>
    <row r="7" customFormat="false" ht="15" hidden="false" customHeight="false" outlineLevel="0" collapsed="false">
      <c r="A7" s="4" t="s">
        <v>85</v>
      </c>
      <c r="B7" s="18" t="n">
        <v>1000</v>
      </c>
      <c r="C7" s="5" t="s">
        <v>86</v>
      </c>
      <c r="D7" s="5" t="s">
        <v>87</v>
      </c>
    </row>
    <row r="8" customFormat="false" ht="15" hidden="false" customHeight="false" outlineLevel="0" collapsed="false">
      <c r="A8" s="4" t="s">
        <v>88</v>
      </c>
      <c r="B8" s="19" t="n">
        <f aca="false">Presupuesto!F9/B7</f>
        <v>0.01</v>
      </c>
      <c r="C8" s="5" t="s">
        <v>89</v>
      </c>
      <c r="D8" s="5" t="s">
        <v>90</v>
      </c>
    </row>
    <row r="9" customFormat="false" ht="15" hidden="false" customHeight="false" outlineLevel="0" collapsed="false">
      <c r="A9" s="4" t="s">
        <v>91</v>
      </c>
      <c r="B9" s="18" t="n">
        <v>100000</v>
      </c>
      <c r="C9" s="5" t="s">
        <v>92</v>
      </c>
      <c r="D9" s="5" t="s">
        <v>93</v>
      </c>
    </row>
    <row r="10" customFormat="false" ht="15" hidden="false" customHeight="false" outlineLevel="0" collapsed="false">
      <c r="A10" s="4" t="s">
        <v>94</v>
      </c>
      <c r="B10" s="18" t="n">
        <v>20</v>
      </c>
      <c r="C10" s="5" t="s">
        <v>95</v>
      </c>
      <c r="D10" s="5" t="s">
        <v>96</v>
      </c>
    </row>
    <row r="11" customFormat="false" ht="15" hidden="false" customHeight="false" outlineLevel="0" collapsed="false">
      <c r="A11" s="4" t="s">
        <v>97</v>
      </c>
      <c r="B11" s="18" t="n">
        <v>0.1</v>
      </c>
      <c r="C11" s="5" t="s">
        <v>98</v>
      </c>
      <c r="D11" s="5" t="s">
        <v>99</v>
      </c>
    </row>
    <row r="13" customFormat="false" ht="15" hidden="false" customHeight="false" outlineLevel="0" collapsed="false">
      <c r="A13" s="9" t="s">
        <v>100</v>
      </c>
    </row>
    <row r="14" customFormat="false" ht="15" hidden="false" customHeight="false" outlineLevel="0" collapsed="false">
      <c r="A14" s="2" t="s">
        <v>101</v>
      </c>
    </row>
    <row r="15" customFormat="false" ht="15" hidden="false" customHeight="false" outlineLevel="0" collapsed="false">
      <c r="A15" s="2" t="s">
        <v>102</v>
      </c>
    </row>
    <row r="16" customFormat="false" ht="15" hidden="false" customHeight="false" outlineLevel="0" collapsed="false">
      <c r="A16" s="2" t="s">
        <v>103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D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00"/>
    <col collapsed="false" customWidth="true" hidden="false" outlineLevel="0" max="4" min="4" style="0" width="14"/>
  </cols>
  <sheetData>
    <row r="1" customFormat="false" ht="19.7" hidden="false" customHeight="false" outlineLevel="0" collapsed="false">
      <c r="A1" s="1" t="s">
        <v>104</v>
      </c>
    </row>
    <row r="2" customFormat="false" ht="15" hidden="false" customHeight="false" outlineLevel="0" collapsed="false">
      <c r="A2" s="2" t="s">
        <v>105</v>
      </c>
    </row>
    <row r="4" customFormat="false" ht="30" hidden="false" customHeight="true" outlineLevel="0" collapsed="false">
      <c r="A4" s="3" t="s">
        <v>3</v>
      </c>
      <c r="B4" s="3" t="s">
        <v>5</v>
      </c>
      <c r="C4" s="3" t="s">
        <v>106</v>
      </c>
      <c r="D4" s="3" t="s">
        <v>7</v>
      </c>
    </row>
    <row r="5" customFormat="false" ht="22.35" hidden="false" customHeight="false" outlineLevel="0" collapsed="false">
      <c r="A5" s="20" t="s">
        <v>11</v>
      </c>
      <c r="B5" s="21" t="s">
        <v>13</v>
      </c>
      <c r="C5" s="21" t="s">
        <v>107</v>
      </c>
      <c r="D5" s="22" t="n">
        <v>0</v>
      </c>
    </row>
    <row r="6" customFormat="false" ht="32.8" hidden="false" customHeight="false" outlineLevel="0" collapsed="false">
      <c r="A6" s="20" t="s">
        <v>17</v>
      </c>
      <c r="B6" s="21" t="s">
        <v>13</v>
      </c>
      <c r="C6" s="21" t="s">
        <v>108</v>
      </c>
      <c r="D6" s="22" t="n">
        <v>14.718625</v>
      </c>
    </row>
    <row r="7" customFormat="false" ht="43.25" hidden="false" customHeight="false" outlineLevel="0" collapsed="false">
      <c r="A7" s="20" t="s">
        <v>22</v>
      </c>
      <c r="B7" s="21" t="s">
        <v>24</v>
      </c>
      <c r="C7" s="21" t="s">
        <v>109</v>
      </c>
      <c r="D7" s="22" t="n">
        <v>0.536</v>
      </c>
    </row>
    <row r="8" customFormat="false" ht="43.25" hidden="false" customHeight="false" outlineLevel="0" collapsed="false">
      <c r="A8" s="20" t="s">
        <v>110</v>
      </c>
      <c r="B8" s="21" t="s">
        <v>13</v>
      </c>
      <c r="C8" s="21" t="s">
        <v>111</v>
      </c>
      <c r="D8" s="22" t="n">
        <v>0.1528</v>
      </c>
    </row>
    <row r="9" customFormat="false" ht="22.35" hidden="false" customHeight="false" outlineLevel="0" collapsed="false">
      <c r="A9" s="20" t="s">
        <v>112</v>
      </c>
      <c r="B9" s="21" t="s">
        <v>13</v>
      </c>
      <c r="C9" s="21" t="s">
        <v>113</v>
      </c>
      <c r="D9" s="22" t="n">
        <v>10</v>
      </c>
    </row>
    <row r="10" customFormat="false" ht="15" hidden="false" customHeight="false" outlineLevel="0" collapsed="false">
      <c r="A10" s="20" t="s">
        <v>36</v>
      </c>
      <c r="B10" s="21" t="s">
        <v>13</v>
      </c>
      <c r="C10" s="21" t="s">
        <v>114</v>
      </c>
      <c r="D10" s="22" t="n">
        <v>0</v>
      </c>
    </row>
    <row r="11" customFormat="false" ht="126.85" hidden="false" customHeight="false" outlineLevel="0" collapsed="false">
      <c r="A11" s="20" t="s">
        <v>115</v>
      </c>
      <c r="B11" s="21" t="s">
        <v>13</v>
      </c>
      <c r="C11" s="21" t="s">
        <v>116</v>
      </c>
      <c r="D11" s="22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LibreOffice/26.8.0.3$Linux_X86_64 LibreOffice_project/680$Build-3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2026-10-13T02:55:45Z</dcterms:created>
  <dc:creator>openpyxl</dc:creator>
  <dc:description/>
  <dc:language>en-US</dc:language>
  <cp:lastModifiedBy/>
  <dcterms:modified xsi:type="dcterms:W3CDTF">2026-10-12T23:59:18Z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